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JANARDHAN_R\0000 - 1111\"/>
    </mc:Choice>
  </mc:AlternateContent>
  <xr:revisionPtr revIDLastSave="0" documentId="13_ncr:1_{9CA6919C-44C2-4961-85DD-877EC768E5FC}" xr6:coauthVersionLast="47" xr6:coauthVersionMax="47" xr10:uidLastSave="{00000000-0000-0000-0000-000000000000}"/>
  <bookViews>
    <workbookView xWindow="-108" yWindow="-108" windowWidth="23256" windowHeight="12456" activeTab="1" xr2:uid="{00000000-000D-0000-FFFF-FFFF00000000}"/>
  </bookViews>
  <sheets>
    <sheet name="DASHBOARD" sheetId="6" r:id="rId1"/>
    <sheet name="DATA" sheetId="1" r:id="rId2"/>
    <sheet name="Pivot_Table_1" sheetId="7" r:id="rId3"/>
    <sheet name="Pivot_table_2" sheetId="4" r:id="rId4"/>
  </sheets>
  <definedNames>
    <definedName name="Slicer_Category">#N/A</definedName>
    <definedName name="Slicer_Product">#N/A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1" i="1" l="1"/>
  <c r="K9" i="1"/>
  <c r="K7" i="1"/>
  <c r="K5" i="1"/>
</calcChain>
</file>

<file path=xl/sharedStrings.xml><?xml version="1.0" encoding="utf-8"?>
<sst xmlns="http://schemas.openxmlformats.org/spreadsheetml/2006/main" count="846" uniqueCount="178">
  <si>
    <t>Date</t>
  </si>
  <si>
    <t>Product</t>
  </si>
  <si>
    <t>Category</t>
  </si>
  <si>
    <t>Quantity</t>
  </si>
  <si>
    <t>Selling Price</t>
  </si>
  <si>
    <t>Cost Price</t>
  </si>
  <si>
    <t>Customer</t>
  </si>
  <si>
    <t>Profit</t>
  </si>
  <si>
    <t>Revenue</t>
  </si>
  <si>
    <t>18-01-2026</t>
  </si>
  <si>
    <t>Shoes</t>
  </si>
  <si>
    <t>Footwear</t>
  </si>
  <si>
    <t>C035</t>
  </si>
  <si>
    <t>17-03-2026</t>
  </si>
  <si>
    <t>T-Shirt</t>
  </si>
  <si>
    <t>Clothing</t>
  </si>
  <si>
    <t>C006</t>
  </si>
  <si>
    <t>30-01-2026</t>
  </si>
  <si>
    <t>C036</t>
  </si>
  <si>
    <t>02-04-2026</t>
  </si>
  <si>
    <t>C029</t>
  </si>
  <si>
    <t>05-02-2026</t>
  </si>
  <si>
    <t>Hoodie</t>
  </si>
  <si>
    <t>C045</t>
  </si>
  <si>
    <t>13-02-2026</t>
  </si>
  <si>
    <t>Bag</t>
  </si>
  <si>
    <t>Accessories</t>
  </si>
  <si>
    <t>C049</t>
  </si>
  <si>
    <t>14-01-2026</t>
  </si>
  <si>
    <t>Watch</t>
  </si>
  <si>
    <t>C023</t>
  </si>
  <si>
    <t>14-02-2026</t>
  </si>
  <si>
    <t>Sneakers</t>
  </si>
  <si>
    <t>C047</t>
  </si>
  <si>
    <t>10-03-2026</t>
  </si>
  <si>
    <t>17-04-2026</t>
  </si>
  <si>
    <t>C013</t>
  </si>
  <si>
    <t>09-01-2026</t>
  </si>
  <si>
    <t>Cap</t>
  </si>
  <si>
    <t>C050</t>
  </si>
  <si>
    <t>11-01-2026</t>
  </si>
  <si>
    <t>C018</t>
  </si>
  <si>
    <t>23-03-2026</t>
  </si>
  <si>
    <t>27-03-2026</t>
  </si>
  <si>
    <t>C042</t>
  </si>
  <si>
    <t>19-03-2026</t>
  </si>
  <si>
    <t>C016</t>
  </si>
  <si>
    <t>01-03-2026</t>
  </si>
  <si>
    <t>29-01-2026</t>
  </si>
  <si>
    <t>C004</t>
  </si>
  <si>
    <t>16-04-2026</t>
  </si>
  <si>
    <t>05-03-2026</t>
  </si>
  <si>
    <t>C010</t>
  </si>
  <si>
    <t>06-04-2026</t>
  </si>
  <si>
    <t>C026</t>
  </si>
  <si>
    <t>07-01-2026</t>
  </si>
  <si>
    <t>C011</t>
  </si>
  <si>
    <t>29-03-2026</t>
  </si>
  <si>
    <t>C025</t>
  </si>
  <si>
    <t>18-03-2026</t>
  </si>
  <si>
    <t>01-05-2026</t>
  </si>
  <si>
    <t>C008</t>
  </si>
  <si>
    <t>24-04-2026</t>
  </si>
  <si>
    <t>01-01-2026</t>
  </si>
  <si>
    <t>C012</t>
  </si>
  <si>
    <t>27-04-2026</t>
  </si>
  <si>
    <t>C041</t>
  </si>
  <si>
    <t>11-03-2026</t>
  </si>
  <si>
    <t>C021</t>
  </si>
  <si>
    <t>03-01-2026</t>
  </si>
  <si>
    <t>31-01-2026</t>
  </si>
  <si>
    <t>15-04-2026</t>
  </si>
  <si>
    <t>17-01-2026</t>
  </si>
  <si>
    <t>C017</t>
  </si>
  <si>
    <t>22-04-2026</t>
  </si>
  <si>
    <t>04-04-2026</t>
  </si>
  <si>
    <t>01-02-2026</t>
  </si>
  <si>
    <t>C002</t>
  </si>
  <si>
    <t>12-03-2026</t>
  </si>
  <si>
    <t>C001</t>
  </si>
  <si>
    <t>01-04-2026</t>
  </si>
  <si>
    <t>C003</t>
  </si>
  <si>
    <t>04-03-2026</t>
  </si>
  <si>
    <t>15-03-2026</t>
  </si>
  <si>
    <t>C031</t>
  </si>
  <si>
    <t>22-02-2026</t>
  </si>
  <si>
    <t>C043</t>
  </si>
  <si>
    <t>15-02-2026</t>
  </si>
  <si>
    <t>28-03-2026</t>
  </si>
  <si>
    <t>13-04-2026</t>
  </si>
  <si>
    <t>27-02-2026</t>
  </si>
  <si>
    <t>C007</t>
  </si>
  <si>
    <t>21-04-2026</t>
  </si>
  <si>
    <t>19-02-2026</t>
  </si>
  <si>
    <t>C030</t>
  </si>
  <si>
    <t>24-02-2026</t>
  </si>
  <si>
    <t>C032</t>
  </si>
  <si>
    <t>25-01-2026</t>
  </si>
  <si>
    <t>C038</t>
  </si>
  <si>
    <t>16-03-2026</t>
  </si>
  <si>
    <t>07-03-2026</t>
  </si>
  <si>
    <t>C039</t>
  </si>
  <si>
    <t>C037</t>
  </si>
  <si>
    <t>26-03-2026</t>
  </si>
  <si>
    <t>27-01-2026</t>
  </si>
  <si>
    <t>02-01-2026</t>
  </si>
  <si>
    <t>C009</t>
  </si>
  <si>
    <t>23-04-2026</t>
  </si>
  <si>
    <t>C019</t>
  </si>
  <si>
    <t>26-02-2026</t>
  </si>
  <si>
    <t>C040</t>
  </si>
  <si>
    <t>25-03-2026</t>
  </si>
  <si>
    <t>30-04-2026</t>
  </si>
  <si>
    <t>03-02-2026</t>
  </si>
  <si>
    <t>09-04-2026</t>
  </si>
  <si>
    <t>15-01-2026</t>
  </si>
  <si>
    <t>13-03-2026</t>
  </si>
  <si>
    <t>05-04-2026</t>
  </si>
  <si>
    <t>18-02-2026</t>
  </si>
  <si>
    <t>28-04-2026</t>
  </si>
  <si>
    <t>C015</t>
  </si>
  <si>
    <t>04-01-2026</t>
  </si>
  <si>
    <t>C033</t>
  </si>
  <si>
    <t>23-01-2026</t>
  </si>
  <si>
    <t>25-02-2026</t>
  </si>
  <si>
    <t>02-02-2026</t>
  </si>
  <si>
    <t>29-04-2026</t>
  </si>
  <si>
    <t>C048</t>
  </si>
  <si>
    <t>C005</t>
  </si>
  <si>
    <t>16-01-2026</t>
  </si>
  <si>
    <t>11-02-2026</t>
  </si>
  <si>
    <t>C044</t>
  </si>
  <si>
    <t>26-04-2026</t>
  </si>
  <si>
    <t>C020</t>
  </si>
  <si>
    <t>C014</t>
  </si>
  <si>
    <t>11-04-2026</t>
  </si>
  <si>
    <t>12-04-2026</t>
  </si>
  <si>
    <t>06-01-2026</t>
  </si>
  <si>
    <t>28-02-2026</t>
  </si>
  <si>
    <t>31-03-2026</t>
  </si>
  <si>
    <t>C034</t>
  </si>
  <si>
    <t>10-02-2026</t>
  </si>
  <si>
    <t>02-03-2026</t>
  </si>
  <si>
    <t>22-03-2026</t>
  </si>
  <si>
    <t>06-02-2026</t>
  </si>
  <si>
    <t>20-01-2026</t>
  </si>
  <si>
    <t>C027</t>
  </si>
  <si>
    <t>23-02-2026</t>
  </si>
  <si>
    <t>20-04-2026</t>
  </si>
  <si>
    <t>08-02-2026</t>
  </si>
  <si>
    <t>C022</t>
  </si>
  <si>
    <t>21-03-2026</t>
  </si>
  <si>
    <t>C028</t>
  </si>
  <si>
    <t>18-04-2026</t>
  </si>
  <si>
    <t>20-02-2026</t>
  </si>
  <si>
    <t>19-04-2026</t>
  </si>
  <si>
    <t>24-03-2026</t>
  </si>
  <si>
    <t>C046</t>
  </si>
  <si>
    <t>20-03-2026</t>
  </si>
  <si>
    <t>08-04-2026</t>
  </si>
  <si>
    <t>21-02-2026</t>
  </si>
  <si>
    <t>09-02-2026</t>
  </si>
  <si>
    <t>24-01-2026</t>
  </si>
  <si>
    <t>03-04-2026</t>
  </si>
  <si>
    <t>13-01-2026</t>
  </si>
  <si>
    <t>C024</t>
  </si>
  <si>
    <t>10-01-2026</t>
  </si>
  <si>
    <t>10-04-2026</t>
  </si>
  <si>
    <t>08-01-2026</t>
  </si>
  <si>
    <t>Row Labels</t>
  </si>
  <si>
    <t>Grand Total</t>
  </si>
  <si>
    <t>Sum of Revenue</t>
  </si>
  <si>
    <t>Sum of Profit</t>
  </si>
  <si>
    <t>Unit Sold</t>
  </si>
  <si>
    <t>Total Profit</t>
  </si>
  <si>
    <t>Average Sales</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</si>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</sst>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K&quot;"/>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0" fillId="0" borderId="1" xfId="0" applyBorder="1" applyAlignment="1">
      <alignment horizontal="left" vertical="center"/>
    </xf>
    <xf numFmtId="1" fontId="0" fillId="0" borderId="1" xfId="0" applyNumberFormat="1" applyBorder="1" applyAlignment="1">
      <alignment horizontal="left" vertical="center"/>
    </xf>
    <xf numFmtId="0" fontId="2" fillId="0" borderId="1" xfId="0" applyFont="1" applyBorder="1" applyAlignment="1">
      <alignment horizontal="left" vertical="center"/>
    </xf>
    <xf numFmtId="164" fontId="0" fillId="0" borderId="0" xfId="0" applyNumberFormat="1"/>
    <xf numFmtId="0" fontId="0" fillId="0" borderId="0" xfId="0" applyNumberFormat="1"/>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[4._Sales_Dashboard.xlsx]Pivot_Table_1!PivotTable4</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39726835744937E-2"/>
          <c:y val="7.4202885002326149E-2"/>
          <c:w val="0.83539039271093662"/>
          <c:h val="0.8413993670844474"/>
        </c:manualLayout>
      </c:layout>
      <c:bar3DChart>
        <c:barDir val="col"/>
        <c:grouping val="standard"/>
        <c:varyColors val="0"/>
        <c:ser>
          <c:idx val="0"/>
          <c:order val="0"/>
          <c:tx>
            <c:strRef>
              <c:f>Pivot_Table_1!$K$3</c:f>
              <c:strCache>
                <c:ptCount val="1"/>
                <c:pt idx="0">
                  <c:v>Total</c:v>
                </c:pt>
              </c:strCache>
            </c:strRef>
          </c:tx>
          <c:spPr>
            <a:solidFill>
              <a:schemeClr val="accent1"/>
            </a:solidFill>
            <a:ln>
              <a:noFill/>
            </a:ln>
            <a:effectLst/>
            <a:sp3d/>
          </c:spPr>
          <c:invertIfNegative val="0"/>
          <c:cat>
            <c:strRef>
              <c:f>Pivot_Table_1!$J$4:$J$11</c:f>
              <c:strCache>
                <c:ptCount val="7"/>
                <c:pt idx="0">
                  <c:v>Bag</c:v>
                </c:pt>
                <c:pt idx="1">
                  <c:v>Cap</c:v>
                </c:pt>
                <c:pt idx="2">
                  <c:v>Hoodie</c:v>
                </c:pt>
                <c:pt idx="3">
                  <c:v>Shoes</c:v>
                </c:pt>
                <c:pt idx="4">
                  <c:v>Sneakers</c:v>
                </c:pt>
                <c:pt idx="5">
                  <c:v>T-Shirt</c:v>
                </c:pt>
                <c:pt idx="6">
                  <c:v>Watch</c:v>
                </c:pt>
              </c:strCache>
            </c:strRef>
          </c:cat>
          <c:val>
            <c:numRef>
              <c:f>Pivot_Table_1!$K$4:$K$11</c:f>
              <c:numCache>
                <c:formatCode>General</c:formatCode>
                <c:ptCount val="7"/>
                <c:pt idx="0">
                  <c:v>79</c:v>
                </c:pt>
                <c:pt idx="1">
                  <c:v>59</c:v>
                </c:pt>
                <c:pt idx="2">
                  <c:v>56</c:v>
                </c:pt>
                <c:pt idx="3">
                  <c:v>99</c:v>
                </c:pt>
                <c:pt idx="4">
                  <c:v>67</c:v>
                </c:pt>
                <c:pt idx="5">
                  <c:v>71</c:v>
                </c:pt>
                <c:pt idx="6">
                  <c:v>93</c:v>
                </c:pt>
              </c:numCache>
            </c:numRef>
          </c:val>
          <c:extLst>
            <c:ext xmlns:c16="http://schemas.microsoft.com/office/drawing/2014/chart" uri="{C3380CC4-5D6E-409C-BE32-E72D297353CC}">
              <c16:uniqueId val="{00000000-DA5B-49D4-931D-85E27DD50B63}"/>
            </c:ext>
          </c:extLst>
        </c:ser>
        <c:dLbls>
          <c:showLegendKey val="0"/>
          <c:showVal val="0"/>
          <c:showCatName val="0"/>
          <c:showSerName val="0"/>
          <c:showPercent val="0"/>
          <c:showBubbleSize val="0"/>
        </c:dLbls>
        <c:gapWidth val="150"/>
        <c:shape val="box"/>
        <c:axId val="2137883599"/>
        <c:axId val="2137885519"/>
        <c:axId val="2130412383"/>
      </c:bar3DChart>
      <c:catAx>
        <c:axId val="21378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auto val="1"/>
        <c:lblAlgn val="ctr"/>
        <c:lblOffset val="100"/>
        <c:noMultiLvlLbl val="0"/>
      </c:catAx>
      <c:valAx>
        <c:axId val="21378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3599"/>
        <c:crosses val="autoZero"/>
        <c:crossBetween val="between"/>
      </c:valAx>
      <c:serAx>
        <c:axId val="21304123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[4._Sales_Dashboard.xlsx]Pivot_Table_1!PivotTable2</c:name>
    <c:fmtId val="8"/>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Pivot_Table_1!$E$3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9345-4C9A-B7EE-AC9AFEED06C0}"/>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9345-4C9A-B7EE-AC9AFEED06C0}"/>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9345-4C9A-B7EE-AC9AFEED06C0}"/>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9345-4C9A-B7EE-AC9AFEED06C0}"/>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9345-4C9A-B7EE-AC9AFEED06C0}"/>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9345-4C9A-B7EE-AC9AFEED06C0}"/>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9345-4C9A-B7EE-AC9AFEED06C0}"/>
              </c:ext>
            </c:extLst>
          </c:dPt>
          <c:dLbls>
            <c:dLbl>
              <c:idx val="0"/>
              <c:layout>
                <c:manualLayout>
                  <c:x val="-5.7979221347331612E-2"/>
                  <c:y val="-0.106446850393700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45-4C9A-B7EE-AC9AFEED06C0}"/>
                </c:ext>
              </c:extLst>
            </c:dLbl>
            <c:dLbl>
              <c:idx val="1"/>
              <c:layout>
                <c:manualLayout>
                  <c:x val="-6.9090332458442691E-2"/>
                  <c:y val="-0.18052092446777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45-4C9A-B7EE-AC9AFEED06C0}"/>
                </c:ext>
              </c:extLst>
            </c:dLbl>
            <c:dLbl>
              <c:idx val="2"/>
              <c:layout>
                <c:manualLayout>
                  <c:x val="-8.0201443569553804E-2"/>
                  <c:y val="-0.1758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45-4C9A-B7EE-AC9AFEED06C0}"/>
                </c:ext>
              </c:extLst>
            </c:dLbl>
            <c:dLbl>
              <c:idx val="3"/>
              <c:layout>
                <c:manualLayout>
                  <c:x val="-0.1548473315835521"/>
                  <c:y val="-9.5382035578885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45-4C9A-B7EE-AC9AFEED06C0}"/>
                </c:ext>
              </c:extLst>
            </c:dLbl>
            <c:dLbl>
              <c:idx val="4"/>
              <c:layout>
                <c:manualLayout>
                  <c:x val="1.1819335083114611E-2"/>
                  <c:y val="-8.149314668999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45-4C9A-B7EE-AC9AFEED06C0}"/>
                </c:ext>
              </c:extLst>
            </c:dLbl>
            <c:dLbl>
              <c:idx val="5"/>
              <c:layout>
                <c:manualLayout>
                  <c:x val="-0.20484733158355206"/>
                  <c:y val="-1.6678331875182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345-4C9A-B7EE-AC9AFEED06C0}"/>
                </c:ext>
              </c:extLst>
            </c:dLbl>
            <c:dLbl>
              <c:idx val="6"/>
              <c:layout>
                <c:manualLayout>
                  <c:x val="-4.4439851268591429E-2"/>
                  <c:y val="-0.123159813356663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345-4C9A-B7EE-AC9AFEED06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Pivot_Table_1!$D$4:$D$11</c:f>
              <c:strCache>
                <c:ptCount val="7"/>
                <c:pt idx="0">
                  <c:v>Bag</c:v>
                </c:pt>
                <c:pt idx="1">
                  <c:v>Cap</c:v>
                </c:pt>
                <c:pt idx="2">
                  <c:v>Hoodie</c:v>
                </c:pt>
                <c:pt idx="3">
                  <c:v>Shoes</c:v>
                </c:pt>
                <c:pt idx="4">
                  <c:v>Sneakers</c:v>
                </c:pt>
                <c:pt idx="5">
                  <c:v>T-Shirt</c:v>
                </c:pt>
                <c:pt idx="6">
                  <c:v>Watch</c:v>
                </c:pt>
              </c:strCache>
            </c:strRef>
          </c:cat>
          <c:val>
            <c:numRef>
              <c:f>Pivot_Table_1!$E$4:$E$11</c:f>
              <c:numCache>
                <c:formatCode>"₹"0.00,"K"</c:formatCode>
                <c:ptCount val="7"/>
                <c:pt idx="0">
                  <c:v>37199</c:v>
                </c:pt>
                <c:pt idx="1">
                  <c:v>12728</c:v>
                </c:pt>
                <c:pt idx="2">
                  <c:v>27894</c:v>
                </c:pt>
                <c:pt idx="3">
                  <c:v>59706</c:v>
                </c:pt>
                <c:pt idx="4">
                  <c:v>66684</c:v>
                </c:pt>
                <c:pt idx="5">
                  <c:v>13356</c:v>
                </c:pt>
                <c:pt idx="6">
                  <c:v>47698</c:v>
                </c:pt>
              </c:numCache>
            </c:numRef>
          </c:val>
          <c:smooth val="0"/>
          <c:extLst>
            <c:ext xmlns:c16="http://schemas.microsoft.com/office/drawing/2014/chart" uri="{C3380CC4-5D6E-409C-BE32-E72D297353CC}">
              <c16:uniqueId val="{0000000E-9345-4C9A-B7EE-AC9AFEED06C0}"/>
            </c:ext>
          </c:extLst>
        </c:ser>
        <c:dLbls>
          <c:dLblPos val="t"/>
          <c:showLegendKey val="0"/>
          <c:showVal val="1"/>
          <c:showCatName val="0"/>
          <c:showSerName val="0"/>
          <c:showPercent val="0"/>
          <c:showBubbleSize val="0"/>
        </c:dLbls>
        <c:marker val="1"/>
        <c:smooth val="0"/>
        <c:axId val="2068042255"/>
        <c:axId val="2068035055"/>
      </c:lineChart>
      <c:catAx>
        <c:axId val="2068042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35055"/>
        <c:crosses val="autoZero"/>
        <c:auto val="1"/>
        <c:lblAlgn val="ctr"/>
        <c:lblOffset val="100"/>
        <c:noMultiLvlLbl val="0"/>
      </c:catAx>
      <c:valAx>
        <c:axId val="2068035055"/>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4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763285024154588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4758454106280194"/>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91062801932367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0.16827390884887231"/>
              <c:y val="-0.1109399783913013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827390884887231"/>
              <c:y val="-0.1751683869336337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278709182328478"/>
              <c:y val="0.1051010321601802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Pivot_Table_1!$H$3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A5-4AF8-B29B-0CE095DFD7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9A5-4AF8-B29B-0CE095DFD7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89A5-4AF8-B29B-0CE095DFD7B0}"/>
              </c:ext>
            </c:extLst>
          </c:dPt>
          <c:dLbls>
            <c:dLbl>
              <c:idx val="0"/>
              <c:layout>
                <c:manualLayout>
                  <c:x val="0.16827390884887231"/>
                  <c:y val="-0.110939978391301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9A5-4AF8-B29B-0CE095DFD7B0}"/>
                </c:ext>
              </c:extLst>
            </c:dLbl>
            <c:dLbl>
              <c:idx val="1"/>
              <c:layout>
                <c:manualLayout>
                  <c:x val="0.2278709182328478"/>
                  <c:y val="0.10510103216018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A5-4AF8-B29B-0CE095DFD7B0}"/>
                </c:ext>
              </c:extLst>
            </c:dLbl>
            <c:dLbl>
              <c:idx val="2"/>
              <c:layout>
                <c:manualLayout>
                  <c:x val="-0.16827390884887231"/>
                  <c:y val="-0.17516838693363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9A5-4AF8-B29B-0CE095DFD7B0}"/>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Pivot_Table_1!$G$4:$G$7</c:f>
              <c:strCache>
                <c:ptCount val="3"/>
                <c:pt idx="0">
                  <c:v>Accessories</c:v>
                </c:pt>
                <c:pt idx="1">
                  <c:v>Clothing</c:v>
                </c:pt>
                <c:pt idx="2">
                  <c:v>Footwear</c:v>
                </c:pt>
              </c:strCache>
            </c:strRef>
          </c:cat>
          <c:val>
            <c:numRef>
              <c:f>Pivot_Table_1!$H$4:$H$7</c:f>
              <c:numCache>
                <c:formatCode>"₹"0.00,"K"</c:formatCode>
                <c:ptCount val="3"/>
                <c:pt idx="0">
                  <c:v>84897</c:v>
                </c:pt>
                <c:pt idx="1">
                  <c:v>53978</c:v>
                </c:pt>
                <c:pt idx="2">
                  <c:v>126390</c:v>
                </c:pt>
              </c:numCache>
            </c:numRef>
          </c:val>
          <c:extLst>
            <c:ext xmlns:c16="http://schemas.microsoft.com/office/drawing/2014/chart" uri="{C3380CC4-5D6E-409C-BE32-E72D297353CC}">
              <c16:uniqueId val="{00000002-89A5-4AF8-B29B-0CE095DFD7B0}"/>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[4._Sales_Dashboard.xlsx]Pivot_table_2!PivotTable2</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9944713756874"/>
          <c:y val="0.14832317276523085"/>
          <c:w val="0.78178937007874028"/>
          <c:h val="0.42660943423738701"/>
        </c:manualLayout>
      </c:layout>
      <c:areaChart>
        <c:grouping val="standard"/>
        <c:varyColors val="0"/>
        <c:ser>
          <c:idx val="0"/>
          <c:order val="0"/>
          <c:tx>
            <c:strRef>
              <c:f>Pivot_table_2!$B$3</c:f>
              <c:strCache>
                <c:ptCount val="1"/>
                <c:pt idx="0">
                  <c:v>Total</c:v>
                </c:pt>
              </c:strCache>
            </c:strRef>
          </c:tx>
          <c:spPr>
            <a:solidFill>
              <a:schemeClr val="accent1"/>
            </a:solidFill>
            <a:ln>
              <a:noFill/>
            </a:ln>
            <a:effectLst/>
          </c:spPr>
          <c:cat>
            <c:strRef>
              <c:f>Pivot_table_2!$A$4:$A$104</c:f>
              <c:strCache>
                <c:ptCount val="100"/>
                <c:pt idx="0">
                  <c:v>01-01-2026</c:v>
                </c:pt>
                <c:pt idx="1">
                  <c:v>01-02-2026</c:v>
                </c:pt>
                <c:pt idx="2">
                  <c:v>01-03-2026</c:v>
                </c:pt>
                <c:pt idx="3">
                  <c:v>01-04-2026</c:v>
                </c:pt>
                <c:pt idx="4">
                  <c:v>01-05-2026</c:v>
                </c:pt>
                <c:pt idx="5">
                  <c:v>02-01-2026</c:v>
                </c:pt>
                <c:pt idx="6">
                  <c:v>02-02-2026</c:v>
                </c:pt>
                <c:pt idx="7">
                  <c:v>02-03-2026</c:v>
                </c:pt>
                <c:pt idx="8">
                  <c:v>02-04-2026</c:v>
                </c:pt>
                <c:pt idx="9">
                  <c:v>03-01-2026</c:v>
                </c:pt>
                <c:pt idx="10">
                  <c:v>03-02-2026</c:v>
                </c:pt>
                <c:pt idx="11">
                  <c:v>03-04-2026</c:v>
                </c:pt>
                <c:pt idx="12">
                  <c:v>04-01-2026</c:v>
                </c:pt>
                <c:pt idx="13">
                  <c:v>04-03-2026</c:v>
                </c:pt>
                <c:pt idx="14">
                  <c:v>04-04-2026</c:v>
                </c:pt>
                <c:pt idx="15">
                  <c:v>05-02-2026</c:v>
                </c:pt>
                <c:pt idx="16">
                  <c:v>05-03-2026</c:v>
                </c:pt>
                <c:pt idx="17">
                  <c:v>05-04-2026</c:v>
                </c:pt>
                <c:pt idx="18">
                  <c:v>06-01-2026</c:v>
                </c:pt>
                <c:pt idx="19">
                  <c:v>06-02-2026</c:v>
                </c:pt>
                <c:pt idx="20">
                  <c:v>06-04-2026</c:v>
                </c:pt>
                <c:pt idx="21">
                  <c:v>07-01-2026</c:v>
                </c:pt>
                <c:pt idx="22">
                  <c:v>07-03-2026</c:v>
                </c:pt>
                <c:pt idx="23">
                  <c:v>08-01-2026</c:v>
                </c:pt>
                <c:pt idx="24">
                  <c:v>08-02-2026</c:v>
                </c:pt>
                <c:pt idx="25">
                  <c:v>08-04-2026</c:v>
                </c:pt>
                <c:pt idx="26">
                  <c:v>09-01-2026</c:v>
                </c:pt>
                <c:pt idx="27">
                  <c:v>09-02-2026</c:v>
                </c:pt>
                <c:pt idx="28">
                  <c:v>09-04-2026</c:v>
                </c:pt>
                <c:pt idx="29">
                  <c:v>10-01-2026</c:v>
                </c:pt>
                <c:pt idx="30">
                  <c:v>10-02-2026</c:v>
                </c:pt>
                <c:pt idx="31">
                  <c:v>10-03-2026</c:v>
                </c:pt>
                <c:pt idx="32">
                  <c:v>10-04-2026</c:v>
                </c:pt>
                <c:pt idx="33">
                  <c:v>11-01-2026</c:v>
                </c:pt>
                <c:pt idx="34">
                  <c:v>11-02-2026</c:v>
                </c:pt>
                <c:pt idx="35">
                  <c:v>11-03-2026</c:v>
                </c:pt>
                <c:pt idx="36">
                  <c:v>11-04-2026</c:v>
                </c:pt>
                <c:pt idx="37">
                  <c:v>12-03-2026</c:v>
                </c:pt>
                <c:pt idx="38">
                  <c:v>12-04-2026</c:v>
                </c:pt>
                <c:pt idx="39">
                  <c:v>13-01-2026</c:v>
                </c:pt>
                <c:pt idx="40">
                  <c:v>13-02-2026</c:v>
                </c:pt>
                <c:pt idx="41">
                  <c:v>13-03-2026</c:v>
                </c:pt>
                <c:pt idx="42">
                  <c:v>13-04-2026</c:v>
                </c:pt>
                <c:pt idx="43">
                  <c:v>14-01-2026</c:v>
                </c:pt>
                <c:pt idx="44">
                  <c:v>14-02-2026</c:v>
                </c:pt>
                <c:pt idx="45">
                  <c:v>15-01-2026</c:v>
                </c:pt>
                <c:pt idx="46">
                  <c:v>15-02-2026</c:v>
                </c:pt>
                <c:pt idx="47">
                  <c:v>15-03-2026</c:v>
                </c:pt>
                <c:pt idx="48">
                  <c:v>15-04-2026</c:v>
                </c:pt>
                <c:pt idx="49">
                  <c:v>16-01-2026</c:v>
                </c:pt>
                <c:pt idx="50">
                  <c:v>16-03-2026</c:v>
                </c:pt>
                <c:pt idx="51">
                  <c:v>16-04-2026</c:v>
                </c:pt>
                <c:pt idx="52">
                  <c:v>17-01-2026</c:v>
                </c:pt>
                <c:pt idx="53">
                  <c:v>17-03-2026</c:v>
                </c:pt>
                <c:pt idx="54">
                  <c:v>17-04-2026</c:v>
                </c:pt>
                <c:pt idx="55">
                  <c:v>18-01-2026</c:v>
                </c:pt>
                <c:pt idx="56">
                  <c:v>18-02-2026</c:v>
                </c:pt>
                <c:pt idx="57">
                  <c:v>18-03-2026</c:v>
                </c:pt>
                <c:pt idx="58">
                  <c:v>18-04-2026</c:v>
                </c:pt>
                <c:pt idx="59">
                  <c:v>19-02-2026</c:v>
                </c:pt>
                <c:pt idx="60">
                  <c:v>19-03-2026</c:v>
                </c:pt>
                <c:pt idx="61">
                  <c:v>19-04-2026</c:v>
                </c:pt>
                <c:pt idx="62">
                  <c:v>20-01-2026</c:v>
                </c:pt>
                <c:pt idx="63">
                  <c:v>20-02-2026</c:v>
                </c:pt>
                <c:pt idx="64">
                  <c:v>20-03-2026</c:v>
                </c:pt>
                <c:pt idx="65">
                  <c:v>20-04-2026</c:v>
                </c:pt>
                <c:pt idx="66">
                  <c:v>21-02-2026</c:v>
                </c:pt>
                <c:pt idx="67">
                  <c:v>21-03-2026</c:v>
                </c:pt>
                <c:pt idx="68">
                  <c:v>21-04-2026</c:v>
                </c:pt>
                <c:pt idx="69">
                  <c:v>22-02-2026</c:v>
                </c:pt>
                <c:pt idx="70">
                  <c:v>22-03-2026</c:v>
                </c:pt>
                <c:pt idx="71">
                  <c:v>22-04-2026</c:v>
                </c:pt>
                <c:pt idx="72">
                  <c:v>23-01-2026</c:v>
                </c:pt>
                <c:pt idx="73">
                  <c:v>23-02-2026</c:v>
                </c:pt>
                <c:pt idx="74">
                  <c:v>23-03-2026</c:v>
                </c:pt>
                <c:pt idx="75">
                  <c:v>23-04-2026</c:v>
                </c:pt>
                <c:pt idx="76">
                  <c:v>24-01-2026</c:v>
                </c:pt>
                <c:pt idx="77">
                  <c:v>24-02-2026</c:v>
                </c:pt>
                <c:pt idx="78">
                  <c:v>24-03-2026</c:v>
                </c:pt>
                <c:pt idx="79">
                  <c:v>24-04-2026</c:v>
                </c:pt>
                <c:pt idx="80">
                  <c:v>25-01-2026</c:v>
                </c:pt>
                <c:pt idx="81">
                  <c:v>25-02-2026</c:v>
                </c:pt>
                <c:pt idx="82">
                  <c:v>25-03-2026</c:v>
                </c:pt>
                <c:pt idx="83">
                  <c:v>26-02-2026</c:v>
                </c:pt>
                <c:pt idx="84">
                  <c:v>26-03-2026</c:v>
                </c:pt>
                <c:pt idx="85">
                  <c:v>26-04-2026</c:v>
                </c:pt>
                <c:pt idx="86">
                  <c:v>27-01-2026</c:v>
                </c:pt>
                <c:pt idx="87">
                  <c:v>27-02-2026</c:v>
                </c:pt>
                <c:pt idx="88">
                  <c:v>27-03-2026</c:v>
                </c:pt>
                <c:pt idx="89">
                  <c:v>27-04-2026</c:v>
                </c:pt>
                <c:pt idx="90">
                  <c:v>28-02-2026</c:v>
                </c:pt>
                <c:pt idx="91">
                  <c:v>28-03-2026</c:v>
                </c:pt>
                <c:pt idx="92">
                  <c:v>28-04-2026</c:v>
                </c:pt>
                <c:pt idx="93">
                  <c:v>29-01-2026</c:v>
                </c:pt>
                <c:pt idx="94">
                  <c:v>29-03-2026</c:v>
                </c:pt>
                <c:pt idx="95">
                  <c:v>29-04-2026</c:v>
                </c:pt>
                <c:pt idx="96">
                  <c:v>30-01-2026</c:v>
                </c:pt>
                <c:pt idx="97">
                  <c:v>30-04-2026</c:v>
                </c:pt>
                <c:pt idx="98">
                  <c:v>31-01-2026</c:v>
                </c:pt>
                <c:pt idx="99">
                  <c:v>31-03-2026</c:v>
                </c:pt>
              </c:strCache>
            </c:strRef>
          </c:cat>
          <c:val>
            <c:numRef>
              <c:f>Pivot_table_2!$B$4:$B$104</c:f>
              <c:numCache>
                <c:formatCode>General</c:formatCode>
                <c:ptCount val="100"/>
                <c:pt idx="0">
                  <c:v>2784</c:v>
                </c:pt>
                <c:pt idx="1">
                  <c:v>1745</c:v>
                </c:pt>
                <c:pt idx="2">
                  <c:v>15156</c:v>
                </c:pt>
                <c:pt idx="3">
                  <c:v>458</c:v>
                </c:pt>
                <c:pt idx="4">
                  <c:v>1874</c:v>
                </c:pt>
                <c:pt idx="5">
                  <c:v>2236</c:v>
                </c:pt>
                <c:pt idx="6">
                  <c:v>4023</c:v>
                </c:pt>
                <c:pt idx="7">
                  <c:v>19631</c:v>
                </c:pt>
                <c:pt idx="8">
                  <c:v>7934</c:v>
                </c:pt>
                <c:pt idx="9">
                  <c:v>892</c:v>
                </c:pt>
                <c:pt idx="10">
                  <c:v>9125</c:v>
                </c:pt>
                <c:pt idx="11">
                  <c:v>6470</c:v>
                </c:pt>
                <c:pt idx="12">
                  <c:v>7736</c:v>
                </c:pt>
                <c:pt idx="13">
                  <c:v>1492</c:v>
                </c:pt>
                <c:pt idx="14">
                  <c:v>3764</c:v>
                </c:pt>
                <c:pt idx="15">
                  <c:v>1294</c:v>
                </c:pt>
                <c:pt idx="16">
                  <c:v>1456</c:v>
                </c:pt>
                <c:pt idx="17">
                  <c:v>8336</c:v>
                </c:pt>
                <c:pt idx="18">
                  <c:v>2283</c:v>
                </c:pt>
                <c:pt idx="19">
                  <c:v>538</c:v>
                </c:pt>
                <c:pt idx="20">
                  <c:v>8240</c:v>
                </c:pt>
                <c:pt idx="21">
                  <c:v>9525</c:v>
                </c:pt>
                <c:pt idx="22">
                  <c:v>447</c:v>
                </c:pt>
                <c:pt idx="23">
                  <c:v>6445</c:v>
                </c:pt>
                <c:pt idx="24">
                  <c:v>4828</c:v>
                </c:pt>
                <c:pt idx="25">
                  <c:v>2552</c:v>
                </c:pt>
                <c:pt idx="26">
                  <c:v>5736</c:v>
                </c:pt>
                <c:pt idx="27">
                  <c:v>3477</c:v>
                </c:pt>
                <c:pt idx="28">
                  <c:v>2526</c:v>
                </c:pt>
                <c:pt idx="29">
                  <c:v>4805</c:v>
                </c:pt>
                <c:pt idx="30">
                  <c:v>6614</c:v>
                </c:pt>
                <c:pt idx="31">
                  <c:v>7030</c:v>
                </c:pt>
                <c:pt idx="32">
                  <c:v>7485</c:v>
                </c:pt>
                <c:pt idx="33">
                  <c:v>7694</c:v>
                </c:pt>
                <c:pt idx="34">
                  <c:v>5744</c:v>
                </c:pt>
                <c:pt idx="35">
                  <c:v>13495</c:v>
                </c:pt>
                <c:pt idx="36">
                  <c:v>4775</c:v>
                </c:pt>
                <c:pt idx="37">
                  <c:v>4247</c:v>
                </c:pt>
                <c:pt idx="38">
                  <c:v>1936</c:v>
                </c:pt>
                <c:pt idx="39">
                  <c:v>2350</c:v>
                </c:pt>
                <c:pt idx="40">
                  <c:v>2792</c:v>
                </c:pt>
                <c:pt idx="41">
                  <c:v>9652</c:v>
                </c:pt>
                <c:pt idx="42">
                  <c:v>1163</c:v>
                </c:pt>
                <c:pt idx="43">
                  <c:v>1197</c:v>
                </c:pt>
                <c:pt idx="44">
                  <c:v>8835</c:v>
                </c:pt>
                <c:pt idx="45">
                  <c:v>576</c:v>
                </c:pt>
                <c:pt idx="46">
                  <c:v>8081</c:v>
                </c:pt>
                <c:pt idx="47">
                  <c:v>4648</c:v>
                </c:pt>
                <c:pt idx="48">
                  <c:v>994</c:v>
                </c:pt>
                <c:pt idx="49">
                  <c:v>5487</c:v>
                </c:pt>
                <c:pt idx="50">
                  <c:v>9641</c:v>
                </c:pt>
                <c:pt idx="51">
                  <c:v>5820</c:v>
                </c:pt>
                <c:pt idx="52">
                  <c:v>7038</c:v>
                </c:pt>
                <c:pt idx="53">
                  <c:v>1632</c:v>
                </c:pt>
                <c:pt idx="54">
                  <c:v>15044</c:v>
                </c:pt>
                <c:pt idx="55">
                  <c:v>4153</c:v>
                </c:pt>
                <c:pt idx="56">
                  <c:v>520</c:v>
                </c:pt>
                <c:pt idx="57">
                  <c:v>3740</c:v>
                </c:pt>
                <c:pt idx="58">
                  <c:v>1559</c:v>
                </c:pt>
                <c:pt idx="59">
                  <c:v>1800</c:v>
                </c:pt>
                <c:pt idx="60">
                  <c:v>7495</c:v>
                </c:pt>
                <c:pt idx="61">
                  <c:v>5650</c:v>
                </c:pt>
                <c:pt idx="62">
                  <c:v>7817</c:v>
                </c:pt>
                <c:pt idx="63">
                  <c:v>1638</c:v>
                </c:pt>
                <c:pt idx="64">
                  <c:v>6490</c:v>
                </c:pt>
                <c:pt idx="65">
                  <c:v>2485</c:v>
                </c:pt>
                <c:pt idx="66">
                  <c:v>2956</c:v>
                </c:pt>
                <c:pt idx="67">
                  <c:v>7030</c:v>
                </c:pt>
                <c:pt idx="68">
                  <c:v>20379</c:v>
                </c:pt>
                <c:pt idx="69">
                  <c:v>3448</c:v>
                </c:pt>
                <c:pt idx="70">
                  <c:v>5192</c:v>
                </c:pt>
                <c:pt idx="71">
                  <c:v>6040</c:v>
                </c:pt>
                <c:pt idx="72">
                  <c:v>5835</c:v>
                </c:pt>
                <c:pt idx="73">
                  <c:v>7588</c:v>
                </c:pt>
                <c:pt idx="74">
                  <c:v>15795</c:v>
                </c:pt>
                <c:pt idx="75">
                  <c:v>9272</c:v>
                </c:pt>
                <c:pt idx="76">
                  <c:v>510</c:v>
                </c:pt>
                <c:pt idx="77">
                  <c:v>9835</c:v>
                </c:pt>
                <c:pt idx="78">
                  <c:v>3309</c:v>
                </c:pt>
                <c:pt idx="79">
                  <c:v>1960</c:v>
                </c:pt>
                <c:pt idx="80">
                  <c:v>10645</c:v>
                </c:pt>
                <c:pt idx="81">
                  <c:v>13146</c:v>
                </c:pt>
                <c:pt idx="82">
                  <c:v>11995</c:v>
                </c:pt>
                <c:pt idx="83">
                  <c:v>13688</c:v>
                </c:pt>
                <c:pt idx="84">
                  <c:v>11766</c:v>
                </c:pt>
                <c:pt idx="85">
                  <c:v>714</c:v>
                </c:pt>
                <c:pt idx="86">
                  <c:v>9479</c:v>
                </c:pt>
                <c:pt idx="87">
                  <c:v>2416</c:v>
                </c:pt>
                <c:pt idx="88">
                  <c:v>9874</c:v>
                </c:pt>
                <c:pt idx="89">
                  <c:v>1260</c:v>
                </c:pt>
                <c:pt idx="90">
                  <c:v>2244</c:v>
                </c:pt>
                <c:pt idx="91">
                  <c:v>11752</c:v>
                </c:pt>
                <c:pt idx="92">
                  <c:v>8233</c:v>
                </c:pt>
                <c:pt idx="93">
                  <c:v>6348</c:v>
                </c:pt>
                <c:pt idx="94">
                  <c:v>7408</c:v>
                </c:pt>
                <c:pt idx="95">
                  <c:v>6375</c:v>
                </c:pt>
                <c:pt idx="96">
                  <c:v>7770</c:v>
                </c:pt>
                <c:pt idx="97">
                  <c:v>2905</c:v>
                </c:pt>
                <c:pt idx="98">
                  <c:v>2100</c:v>
                </c:pt>
                <c:pt idx="99">
                  <c:v>1304</c:v>
                </c:pt>
              </c:numCache>
            </c:numRef>
          </c:val>
          <c:extLst>
            <c:ext xmlns:c16="http://schemas.microsoft.com/office/drawing/2014/chart" uri="{C3380CC4-5D6E-409C-BE32-E72D297353CC}">
              <c16:uniqueId val="{00000000-952E-4797-A613-7C4DA398F22D}"/>
            </c:ext>
          </c:extLst>
        </c:ser>
        <c:dLbls>
          <c:showLegendKey val="0"/>
          <c:showVal val="0"/>
          <c:showCatName val="0"/>
          <c:showSerName val="0"/>
          <c:showPercent val="0"/>
          <c:showBubbleSize val="0"/>
        </c:dLbls>
        <c:axId val="1599056656"/>
        <c:axId val="1599066256"/>
      </c:areaChart>
      <c:catAx>
        <c:axId val="159905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66256"/>
        <c:crosses val="autoZero"/>
        <c:auto val="1"/>
        <c:lblAlgn val="ctr"/>
        <c:lblOffset val="100"/>
        <c:noMultiLvlLbl val="0"/>
      </c:catAx>
      <c:valAx>
        <c:axId val="15990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66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632850241545883"/>
              <c:y val="7.8703703703703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758454106280194"/>
              <c:y val="-0.1250000000000000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791062801932367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Pivot_Table_1!$H$3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B53-4AD5-B2B1-974C985197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3B-4D76-A6FE-A143026429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3B-4D76-A6FE-A14302642996}"/>
              </c:ext>
            </c:extLst>
          </c:dPt>
          <c:dLbls>
            <c:dLbl>
              <c:idx val="0"/>
              <c:layout>
                <c:manualLayout>
                  <c:x val="0.14758454106280194"/>
                  <c:y val="-0.12500000000000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53-4AD5-B2B1-974C98519713}"/>
                </c:ext>
              </c:extLst>
            </c:dLbl>
            <c:dLbl>
              <c:idx val="1"/>
              <c:layout>
                <c:manualLayout>
                  <c:x val="0.17632850241545883"/>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3B-4D76-A6FE-A14302642996}"/>
                </c:ext>
              </c:extLst>
            </c:dLbl>
            <c:dLbl>
              <c:idx val="2"/>
              <c:layout>
                <c:manualLayout>
                  <c:x val="-0.17910628019323671"/>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3B-4D76-A6FE-A1430264299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Pivot_Table_1!$G$4:$G$7</c:f>
              <c:strCache>
                <c:ptCount val="3"/>
                <c:pt idx="0">
                  <c:v>Accessories</c:v>
                </c:pt>
                <c:pt idx="1">
                  <c:v>Clothing</c:v>
                </c:pt>
                <c:pt idx="2">
                  <c:v>Footwear</c:v>
                </c:pt>
              </c:strCache>
            </c:strRef>
          </c:cat>
          <c:val>
            <c:numRef>
              <c:f>Pivot_Table_1!$H$4:$H$7</c:f>
              <c:numCache>
                <c:formatCode>"₹"0.00,"K"</c:formatCode>
                <c:ptCount val="3"/>
                <c:pt idx="0">
                  <c:v>84897</c:v>
                </c:pt>
                <c:pt idx="1">
                  <c:v>53978</c:v>
                </c:pt>
                <c:pt idx="2">
                  <c:v>126390</c:v>
                </c:pt>
              </c:numCache>
            </c:numRef>
          </c:val>
          <c:extLst>
            <c:ext xmlns:c16="http://schemas.microsoft.com/office/drawing/2014/chart" uri="{C3380CC4-5D6E-409C-BE32-E72D297353CC}">
              <c16:uniqueId val="{00000000-0B53-4AD5-B2B1-974C98519713}"/>
            </c:ext>
          </c:extLst>
        </c:ser>
        <c:dLbls>
          <c:showLegendKey val="0"/>
          <c:showVal val="1"/>
          <c:showCatName val="0"/>
          <c:showSerName val="0"/>
          <c:showPercent val="0"/>
          <c:showBubbleSize val="0"/>
          <c:showLeaderLines val="1"/>
        </c:dLbls>
        <c:firstSliceAng val="36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[4._Sales_Dashboard.xlsx]Pivot_Table_1!PivotTable2</c:name>
    <c:fmtId val="0"/>
  </c:pivotSource>
  <c:chart>
    <c:autoTitleDeleted val="1"/>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8.0201443569553804E-2"/>
              <c:y val="-0.1758912948381452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6.9090332458442691E-2"/>
              <c:y val="-0.1805209244677748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5.7979221347331612E-2"/>
              <c:y val="-0.1064468503937008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1548473315835521"/>
              <c:y val="-9.538203557888599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1.1819335083114611E-2"/>
              <c:y val="-8.149314668999709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0.20484733158355206"/>
              <c:y val="-1.667833187518226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manualLayout>
              <c:x val="-4.4439851268591429E-2"/>
              <c:y val="-0.123159813356663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Pivot_Table_1!$E$3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Pt>
            <c:idx val="0"/>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4-BB0C-4055-86C5-0D7DE1F4A0B6}"/>
              </c:ext>
            </c:extLst>
          </c:dPt>
          <c:dPt>
            <c:idx val="1"/>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3-BB0C-4055-86C5-0D7DE1F4A0B6}"/>
              </c:ext>
            </c:extLst>
          </c:dPt>
          <c:dPt>
            <c:idx val="2"/>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2-BB0C-4055-86C5-0D7DE1F4A0B6}"/>
              </c:ext>
            </c:extLst>
          </c:dPt>
          <c:dPt>
            <c:idx val="3"/>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5-BB0C-4055-86C5-0D7DE1F4A0B6}"/>
              </c:ext>
            </c:extLst>
          </c:dPt>
          <c:dPt>
            <c:idx val="4"/>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6-BB0C-4055-86C5-0D7DE1F4A0B6}"/>
              </c:ext>
            </c:extLst>
          </c:dPt>
          <c:dPt>
            <c:idx val="5"/>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7-BB0C-4055-86C5-0D7DE1F4A0B6}"/>
              </c:ext>
            </c:extLst>
          </c:dPt>
          <c:dPt>
            <c:idx val="6"/>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extLst>
              <c:ext xmlns:c16="http://schemas.microsoft.com/office/drawing/2014/chart" uri="{C3380CC4-5D6E-409C-BE32-E72D297353CC}">
                <c16:uniqueId val="{00000008-BB0C-4055-86C5-0D7DE1F4A0B6}"/>
              </c:ext>
            </c:extLst>
          </c:dPt>
          <c:dLbls>
            <c:dLbl>
              <c:idx val="0"/>
              <c:layout>
                <c:manualLayout>
                  <c:x val="-5.7979221347331612E-2"/>
                  <c:y val="-0.106446850393700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0C-4055-86C5-0D7DE1F4A0B6}"/>
                </c:ext>
              </c:extLst>
            </c:dLbl>
            <c:dLbl>
              <c:idx val="1"/>
              <c:layout>
                <c:manualLayout>
                  <c:x val="-6.9090332458442691E-2"/>
                  <c:y val="-0.180520924467774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0C-4055-86C5-0D7DE1F4A0B6}"/>
                </c:ext>
              </c:extLst>
            </c:dLbl>
            <c:dLbl>
              <c:idx val="2"/>
              <c:layout>
                <c:manualLayout>
                  <c:x val="-8.0201443569553804E-2"/>
                  <c:y val="-0.175891294838145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C-4055-86C5-0D7DE1F4A0B6}"/>
                </c:ext>
              </c:extLst>
            </c:dLbl>
            <c:dLbl>
              <c:idx val="3"/>
              <c:layout>
                <c:manualLayout>
                  <c:x val="-0.1548473315835521"/>
                  <c:y val="-9.53820355788859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0C-4055-86C5-0D7DE1F4A0B6}"/>
                </c:ext>
              </c:extLst>
            </c:dLbl>
            <c:dLbl>
              <c:idx val="4"/>
              <c:layout>
                <c:manualLayout>
                  <c:x val="1.1819335083114611E-2"/>
                  <c:y val="-8.149314668999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0C-4055-86C5-0D7DE1F4A0B6}"/>
                </c:ext>
              </c:extLst>
            </c:dLbl>
            <c:dLbl>
              <c:idx val="5"/>
              <c:layout>
                <c:manualLayout>
                  <c:x val="-0.20484733158355206"/>
                  <c:y val="-1.6678331875182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0C-4055-86C5-0D7DE1F4A0B6}"/>
                </c:ext>
              </c:extLst>
            </c:dLbl>
            <c:dLbl>
              <c:idx val="6"/>
              <c:layout>
                <c:manualLayout>
                  <c:x val="-4.4439851268591429E-2"/>
                  <c:y val="-0.123159813356663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0C-4055-86C5-0D7DE1F4A0B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Pivot_Table_1!$D$4:$D$11</c:f>
              <c:strCache>
                <c:ptCount val="7"/>
                <c:pt idx="0">
                  <c:v>Bag</c:v>
                </c:pt>
                <c:pt idx="1">
                  <c:v>Cap</c:v>
                </c:pt>
                <c:pt idx="2">
                  <c:v>Hoodie</c:v>
                </c:pt>
                <c:pt idx="3">
                  <c:v>Shoes</c:v>
                </c:pt>
                <c:pt idx="4">
                  <c:v>Sneakers</c:v>
                </c:pt>
                <c:pt idx="5">
                  <c:v>T-Shirt</c:v>
                </c:pt>
                <c:pt idx="6">
                  <c:v>Watch</c:v>
                </c:pt>
              </c:strCache>
            </c:strRef>
          </c:cat>
          <c:val>
            <c:numRef>
              <c:f>Pivot_Table_1!$E$4:$E$11</c:f>
              <c:numCache>
                <c:formatCode>"₹"0.00,"K"</c:formatCode>
                <c:ptCount val="7"/>
                <c:pt idx="0">
                  <c:v>37199</c:v>
                </c:pt>
                <c:pt idx="1">
                  <c:v>12728</c:v>
                </c:pt>
                <c:pt idx="2">
                  <c:v>27894</c:v>
                </c:pt>
                <c:pt idx="3">
                  <c:v>59706</c:v>
                </c:pt>
                <c:pt idx="4">
                  <c:v>66684</c:v>
                </c:pt>
                <c:pt idx="5">
                  <c:v>13356</c:v>
                </c:pt>
                <c:pt idx="6">
                  <c:v>47698</c:v>
                </c:pt>
              </c:numCache>
            </c:numRef>
          </c:val>
          <c:smooth val="0"/>
          <c:extLst>
            <c:ext xmlns:c16="http://schemas.microsoft.com/office/drawing/2014/chart" uri="{C3380CC4-5D6E-409C-BE32-E72D297353CC}">
              <c16:uniqueId val="{00000000-BB0C-4055-86C5-0D7DE1F4A0B6}"/>
            </c:ext>
          </c:extLst>
        </c:ser>
        <c:dLbls>
          <c:dLblPos val="t"/>
          <c:showLegendKey val="0"/>
          <c:showVal val="1"/>
          <c:showCatName val="0"/>
          <c:showSerName val="0"/>
          <c:showPercent val="0"/>
          <c:showBubbleSize val="0"/>
        </c:dLbls>
        <c:marker val="1"/>
        <c:smooth val="0"/>
        <c:axId val="2068042255"/>
        <c:axId val="2068035055"/>
      </c:lineChart>
      <c:catAx>
        <c:axId val="2068042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35055"/>
        <c:crosses val="autoZero"/>
        <c:auto val="1"/>
        <c:lblAlgn val="ctr"/>
        <c:lblOffset val="100"/>
        <c:noMultiLvlLbl val="0"/>
      </c:catAx>
      <c:valAx>
        <c:axId val="2068035055"/>
        <c:scaling>
          <c:orientation val="minMax"/>
        </c:scaling>
        <c:delete val="0"/>
        <c:axPos val="l"/>
        <c:numFmt formatCode="&quot;₹&quot;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04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[4._Sales_Dashboard.xlsx]Pivot_Table_1!PivotTable1</c:name>
    <c:fmtId val="2"/>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Pivot_Table_1!$B$3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Pivot_Table_1!$A$4:$A$11</c:f>
              <c:strCache>
                <c:ptCount val="7"/>
                <c:pt idx="0">
                  <c:v>Bag</c:v>
                </c:pt>
                <c:pt idx="1">
                  <c:v>Cap</c:v>
                </c:pt>
                <c:pt idx="2">
                  <c:v>Hoodie</c:v>
                </c:pt>
                <c:pt idx="3">
                  <c:v>Shoes</c:v>
                </c:pt>
                <c:pt idx="4">
                  <c:v>Sneakers</c:v>
                </c:pt>
                <c:pt idx="5">
                  <c:v>T-Shirt</c:v>
                </c:pt>
                <c:pt idx="6">
                  <c:v>Watch</c:v>
                </c:pt>
              </c:strCache>
            </c:strRef>
          </c:cat>
          <c:val>
            <c:numRef>
              <c:f>Pivot_Table_1!$B$4:$B$11</c:f>
              <c:numCache>
                <c:formatCode>"₹"0.00,"K"</c:formatCode>
                <c:ptCount val="7"/>
                <c:pt idx="0">
                  <c:v>71670</c:v>
                </c:pt>
                <c:pt idx="1">
                  <c:v>18845</c:v>
                </c:pt>
                <c:pt idx="2">
                  <c:v>68136</c:v>
                </c:pt>
                <c:pt idx="3">
                  <c:v>148015</c:v>
                </c:pt>
                <c:pt idx="4">
                  <c:v>120991</c:v>
                </c:pt>
                <c:pt idx="5">
                  <c:v>35505</c:v>
                </c:pt>
                <c:pt idx="6">
                  <c:v>112534</c:v>
                </c:pt>
              </c:numCache>
            </c:numRef>
          </c:val>
          <c:extLst>
            <c:ext xmlns:c16="http://schemas.microsoft.com/office/drawing/2014/chart" uri="{C3380CC4-5D6E-409C-BE32-E72D297353CC}">
              <c16:uniqueId val="{00000000-830B-45EC-BDFE-15F2065430B2}"/>
            </c:ext>
          </c:extLst>
        </c:ser>
        <c:dLbls>
          <c:showLegendKey val="0"/>
          <c:showVal val="0"/>
          <c:showCatName val="0"/>
          <c:showSerName val="0"/>
          <c:showPercent val="0"/>
          <c:showBubbleSize val="0"/>
        </c:dLbls>
        <c:gapWidth val="115"/>
        <c:overlap val="-20"/>
        <c:axId val="2068062415"/>
        <c:axId val="2068070575"/>
      </c:barChart>
      <c:catAx>
        <c:axId val="2068062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68070575"/>
        <c:crosses val="autoZero"/>
        <c:auto val="1"/>
        <c:lblAlgn val="ctr"/>
        <c:lblOffset val="100"/>
        <c:noMultiLvlLbl val="0"/>
      </c:catAx>
      <c:valAx>
        <c:axId val="206807057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2"/>
                </a:solidFill>
                <a:latin typeface="+mn-lt"/>
                <a:ea typeface="+mn-ea"/>
                <a:cs typeface="+mn-cs"/>
              </a:defRPr>
            </a:pPr>
            <a:endParaRPr lang="en-US"/>
          </a:p>
        </c:txPr>
        <c:crossAx val="206806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rnd" cmpd="sng" algn="ctr">
      <a:solidFill>
        <a:schemeClr val="tx1">
          <a:lumMod val="15000"/>
          <a:lumOff val="85000"/>
        </a:schemeClr>
      </a:solidFill>
      <a:round/>
    </a:ln>
    <a:effectLst/>
  </c:spPr>
  <c:txPr>
    <a:bodyPr/>
    <a:lstStyle/>
    <a:p>
      <a:pPr>
        <a:defRPr>
          <a:ln>
            <a:noFill/>
          </a:ln>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[4._Sales_Dashboard.xlsx]Pivot_Table_1!PivotTable4</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539726835744937E-2"/>
          <c:y val="7.4202885002326149E-2"/>
          <c:w val="0.83539039271093662"/>
          <c:h val="0.8413993670844474"/>
        </c:manualLayout>
      </c:layout>
      <c:bar3DChart>
        <c:barDir val="col"/>
        <c:grouping val="standard"/>
        <c:varyColors val="0"/>
        <c:ser>
          <c:idx val="0"/>
          <c:order val="0"/>
          <c:tx>
            <c:strRef>
              <c:f>Pivot_Table_1!$K$3</c:f>
              <c:strCache>
                <c:ptCount val="1"/>
                <c:pt idx="0">
                  <c:v>Total</c:v>
                </c:pt>
              </c:strCache>
            </c:strRef>
          </c:tx>
          <c:spPr>
            <a:solidFill>
              <a:schemeClr val="accent1"/>
            </a:solidFill>
            <a:ln>
              <a:noFill/>
            </a:ln>
            <a:effectLst/>
            <a:sp3d/>
          </c:spPr>
          <c:invertIfNegative val="0"/>
          <c:cat>
            <c:strRef>
              <c:f>Pivot_Table_1!$J$4:$J$11</c:f>
              <c:strCache>
                <c:ptCount val="7"/>
                <c:pt idx="0">
                  <c:v>Bag</c:v>
                </c:pt>
                <c:pt idx="1">
                  <c:v>Cap</c:v>
                </c:pt>
                <c:pt idx="2">
                  <c:v>Hoodie</c:v>
                </c:pt>
                <c:pt idx="3">
                  <c:v>Shoes</c:v>
                </c:pt>
                <c:pt idx="4">
                  <c:v>Sneakers</c:v>
                </c:pt>
                <c:pt idx="5">
                  <c:v>T-Shirt</c:v>
                </c:pt>
                <c:pt idx="6">
                  <c:v>Watch</c:v>
                </c:pt>
              </c:strCache>
            </c:strRef>
          </c:cat>
          <c:val>
            <c:numRef>
              <c:f>Pivot_Table_1!$K$4:$K$11</c:f>
              <c:numCache>
                <c:formatCode>General</c:formatCode>
                <c:ptCount val="7"/>
                <c:pt idx="0">
                  <c:v>79</c:v>
                </c:pt>
                <c:pt idx="1">
                  <c:v>59</c:v>
                </c:pt>
                <c:pt idx="2">
                  <c:v>56</c:v>
                </c:pt>
                <c:pt idx="3">
                  <c:v>99</c:v>
                </c:pt>
                <c:pt idx="4">
                  <c:v>67</c:v>
                </c:pt>
                <c:pt idx="5">
                  <c:v>71</c:v>
                </c:pt>
                <c:pt idx="6">
                  <c:v>93</c:v>
                </c:pt>
              </c:numCache>
            </c:numRef>
          </c:val>
          <c:extLst>
            <c:ext xmlns:c16="http://schemas.microsoft.com/office/drawing/2014/chart" uri="{C3380CC4-5D6E-409C-BE32-E72D297353CC}">
              <c16:uniqueId val="{00000000-B88E-49B0-A2D1-F8832BDDB7FD}"/>
            </c:ext>
          </c:extLst>
        </c:ser>
        <c:dLbls>
          <c:showLegendKey val="0"/>
          <c:showVal val="0"/>
          <c:showCatName val="0"/>
          <c:showSerName val="0"/>
          <c:showPercent val="0"/>
          <c:showBubbleSize val="0"/>
        </c:dLbls>
        <c:gapWidth val="150"/>
        <c:shape val="box"/>
        <c:axId val="2137883599"/>
        <c:axId val="2137885519"/>
        <c:axId val="2130412383"/>
      </c:bar3DChart>
      <c:catAx>
        <c:axId val="21378835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auto val="1"/>
        <c:lblAlgn val="ctr"/>
        <c:lblOffset val="100"/>
        <c:noMultiLvlLbl val="0"/>
      </c:catAx>
      <c:valAx>
        <c:axId val="213788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3599"/>
        <c:crosses val="autoZero"/>
        <c:crossBetween val="between"/>
      </c:valAx>
      <c:serAx>
        <c:axId val="21304123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88551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[4._Sales_Dashboard.xlsx]Pivot_table_2!PivotTable2</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26328484981044037"/>
          <c:w val="0.78178937007874028"/>
          <c:h val="0.42660943423738701"/>
        </c:manualLayout>
      </c:layout>
      <c:areaChart>
        <c:grouping val="standard"/>
        <c:varyColors val="0"/>
        <c:ser>
          <c:idx val="0"/>
          <c:order val="0"/>
          <c:tx>
            <c:strRef>
              <c:f>Pivot_table_2!$B$3</c:f>
              <c:strCache>
                <c:ptCount val="1"/>
                <c:pt idx="0">
                  <c:v>Total</c:v>
                </c:pt>
              </c:strCache>
            </c:strRef>
          </c:tx>
          <c:spPr>
            <a:solidFill>
              <a:schemeClr val="accent1"/>
            </a:solidFill>
            <a:ln>
              <a:noFill/>
            </a:ln>
            <a:effectLst/>
          </c:spPr>
          <c:cat>
            <c:strRef>
              <c:f>Pivot_table_2!$A$4:$A$104</c:f>
              <c:strCache>
                <c:ptCount val="100"/>
                <c:pt idx="0">
                  <c:v>01-01-2026</c:v>
                </c:pt>
                <c:pt idx="1">
                  <c:v>01-02-2026</c:v>
                </c:pt>
                <c:pt idx="2">
                  <c:v>01-03-2026</c:v>
                </c:pt>
                <c:pt idx="3">
                  <c:v>01-04-2026</c:v>
                </c:pt>
                <c:pt idx="4">
                  <c:v>01-05-2026</c:v>
                </c:pt>
                <c:pt idx="5">
                  <c:v>02-01-2026</c:v>
                </c:pt>
                <c:pt idx="6">
                  <c:v>02-02-2026</c:v>
                </c:pt>
                <c:pt idx="7">
                  <c:v>02-03-2026</c:v>
                </c:pt>
                <c:pt idx="8">
                  <c:v>02-04-2026</c:v>
                </c:pt>
                <c:pt idx="9">
                  <c:v>03-01-2026</c:v>
                </c:pt>
                <c:pt idx="10">
                  <c:v>03-02-2026</c:v>
                </c:pt>
                <c:pt idx="11">
                  <c:v>03-04-2026</c:v>
                </c:pt>
                <c:pt idx="12">
                  <c:v>04-01-2026</c:v>
                </c:pt>
                <c:pt idx="13">
                  <c:v>04-03-2026</c:v>
                </c:pt>
                <c:pt idx="14">
                  <c:v>04-04-2026</c:v>
                </c:pt>
                <c:pt idx="15">
                  <c:v>05-02-2026</c:v>
                </c:pt>
                <c:pt idx="16">
                  <c:v>05-03-2026</c:v>
                </c:pt>
                <c:pt idx="17">
                  <c:v>05-04-2026</c:v>
                </c:pt>
                <c:pt idx="18">
                  <c:v>06-01-2026</c:v>
                </c:pt>
                <c:pt idx="19">
                  <c:v>06-02-2026</c:v>
                </c:pt>
                <c:pt idx="20">
                  <c:v>06-04-2026</c:v>
                </c:pt>
                <c:pt idx="21">
                  <c:v>07-01-2026</c:v>
                </c:pt>
                <c:pt idx="22">
                  <c:v>07-03-2026</c:v>
                </c:pt>
                <c:pt idx="23">
                  <c:v>08-01-2026</c:v>
                </c:pt>
                <c:pt idx="24">
                  <c:v>08-02-2026</c:v>
                </c:pt>
                <c:pt idx="25">
                  <c:v>08-04-2026</c:v>
                </c:pt>
                <c:pt idx="26">
                  <c:v>09-01-2026</c:v>
                </c:pt>
                <c:pt idx="27">
                  <c:v>09-02-2026</c:v>
                </c:pt>
                <c:pt idx="28">
                  <c:v>09-04-2026</c:v>
                </c:pt>
                <c:pt idx="29">
                  <c:v>10-01-2026</c:v>
                </c:pt>
                <c:pt idx="30">
                  <c:v>10-02-2026</c:v>
                </c:pt>
                <c:pt idx="31">
                  <c:v>10-03-2026</c:v>
                </c:pt>
                <c:pt idx="32">
                  <c:v>10-04-2026</c:v>
                </c:pt>
                <c:pt idx="33">
                  <c:v>11-01-2026</c:v>
                </c:pt>
                <c:pt idx="34">
                  <c:v>11-02-2026</c:v>
                </c:pt>
                <c:pt idx="35">
                  <c:v>11-03-2026</c:v>
                </c:pt>
                <c:pt idx="36">
                  <c:v>11-04-2026</c:v>
                </c:pt>
                <c:pt idx="37">
                  <c:v>12-03-2026</c:v>
                </c:pt>
                <c:pt idx="38">
                  <c:v>12-04-2026</c:v>
                </c:pt>
                <c:pt idx="39">
                  <c:v>13-01-2026</c:v>
                </c:pt>
                <c:pt idx="40">
                  <c:v>13-02-2026</c:v>
                </c:pt>
                <c:pt idx="41">
                  <c:v>13-03-2026</c:v>
                </c:pt>
                <c:pt idx="42">
                  <c:v>13-04-2026</c:v>
                </c:pt>
                <c:pt idx="43">
                  <c:v>14-01-2026</c:v>
                </c:pt>
                <c:pt idx="44">
                  <c:v>14-02-2026</c:v>
                </c:pt>
                <c:pt idx="45">
                  <c:v>15-01-2026</c:v>
                </c:pt>
                <c:pt idx="46">
                  <c:v>15-02-2026</c:v>
                </c:pt>
                <c:pt idx="47">
                  <c:v>15-03-2026</c:v>
                </c:pt>
                <c:pt idx="48">
                  <c:v>15-04-2026</c:v>
                </c:pt>
                <c:pt idx="49">
                  <c:v>16-01-2026</c:v>
                </c:pt>
                <c:pt idx="50">
                  <c:v>16-03-2026</c:v>
                </c:pt>
                <c:pt idx="51">
                  <c:v>16-04-2026</c:v>
                </c:pt>
                <c:pt idx="52">
                  <c:v>17-01-2026</c:v>
                </c:pt>
                <c:pt idx="53">
                  <c:v>17-03-2026</c:v>
                </c:pt>
                <c:pt idx="54">
                  <c:v>17-04-2026</c:v>
                </c:pt>
                <c:pt idx="55">
                  <c:v>18-01-2026</c:v>
                </c:pt>
                <c:pt idx="56">
                  <c:v>18-02-2026</c:v>
                </c:pt>
                <c:pt idx="57">
                  <c:v>18-03-2026</c:v>
                </c:pt>
                <c:pt idx="58">
                  <c:v>18-04-2026</c:v>
                </c:pt>
                <c:pt idx="59">
                  <c:v>19-02-2026</c:v>
                </c:pt>
                <c:pt idx="60">
                  <c:v>19-03-2026</c:v>
                </c:pt>
                <c:pt idx="61">
                  <c:v>19-04-2026</c:v>
                </c:pt>
                <c:pt idx="62">
                  <c:v>20-01-2026</c:v>
                </c:pt>
                <c:pt idx="63">
                  <c:v>20-02-2026</c:v>
                </c:pt>
                <c:pt idx="64">
                  <c:v>20-03-2026</c:v>
                </c:pt>
                <c:pt idx="65">
                  <c:v>20-04-2026</c:v>
                </c:pt>
                <c:pt idx="66">
                  <c:v>21-02-2026</c:v>
                </c:pt>
                <c:pt idx="67">
                  <c:v>21-03-2026</c:v>
                </c:pt>
                <c:pt idx="68">
                  <c:v>21-04-2026</c:v>
                </c:pt>
                <c:pt idx="69">
                  <c:v>22-02-2026</c:v>
                </c:pt>
                <c:pt idx="70">
                  <c:v>22-03-2026</c:v>
                </c:pt>
                <c:pt idx="71">
                  <c:v>22-04-2026</c:v>
                </c:pt>
                <c:pt idx="72">
                  <c:v>23-01-2026</c:v>
                </c:pt>
                <c:pt idx="73">
                  <c:v>23-02-2026</c:v>
                </c:pt>
                <c:pt idx="74">
                  <c:v>23-03-2026</c:v>
                </c:pt>
                <c:pt idx="75">
                  <c:v>23-04-2026</c:v>
                </c:pt>
                <c:pt idx="76">
                  <c:v>24-01-2026</c:v>
                </c:pt>
                <c:pt idx="77">
                  <c:v>24-02-2026</c:v>
                </c:pt>
                <c:pt idx="78">
                  <c:v>24-03-2026</c:v>
                </c:pt>
                <c:pt idx="79">
                  <c:v>24-04-2026</c:v>
                </c:pt>
                <c:pt idx="80">
                  <c:v>25-01-2026</c:v>
                </c:pt>
                <c:pt idx="81">
                  <c:v>25-02-2026</c:v>
                </c:pt>
                <c:pt idx="82">
                  <c:v>25-03-2026</c:v>
                </c:pt>
                <c:pt idx="83">
                  <c:v>26-02-2026</c:v>
                </c:pt>
                <c:pt idx="84">
                  <c:v>26-03-2026</c:v>
                </c:pt>
                <c:pt idx="85">
                  <c:v>26-04-2026</c:v>
                </c:pt>
                <c:pt idx="86">
                  <c:v>27-01-2026</c:v>
                </c:pt>
                <c:pt idx="87">
                  <c:v>27-02-2026</c:v>
                </c:pt>
                <c:pt idx="88">
                  <c:v>27-03-2026</c:v>
                </c:pt>
                <c:pt idx="89">
                  <c:v>27-04-2026</c:v>
                </c:pt>
                <c:pt idx="90">
                  <c:v>28-02-2026</c:v>
                </c:pt>
                <c:pt idx="91">
                  <c:v>28-03-2026</c:v>
                </c:pt>
                <c:pt idx="92">
                  <c:v>28-04-2026</c:v>
                </c:pt>
                <c:pt idx="93">
                  <c:v>29-01-2026</c:v>
                </c:pt>
                <c:pt idx="94">
                  <c:v>29-03-2026</c:v>
                </c:pt>
                <c:pt idx="95">
                  <c:v>29-04-2026</c:v>
                </c:pt>
                <c:pt idx="96">
                  <c:v>30-01-2026</c:v>
                </c:pt>
                <c:pt idx="97">
                  <c:v>30-04-2026</c:v>
                </c:pt>
                <c:pt idx="98">
                  <c:v>31-01-2026</c:v>
                </c:pt>
                <c:pt idx="99">
                  <c:v>31-03-2026</c:v>
                </c:pt>
              </c:strCache>
            </c:strRef>
          </c:cat>
          <c:val>
            <c:numRef>
              <c:f>Pivot_table_2!$B$4:$B$104</c:f>
              <c:numCache>
                <c:formatCode>General</c:formatCode>
                <c:ptCount val="100"/>
                <c:pt idx="0">
                  <c:v>2784</c:v>
                </c:pt>
                <c:pt idx="1">
                  <c:v>1745</c:v>
                </c:pt>
                <c:pt idx="2">
                  <c:v>15156</c:v>
                </c:pt>
                <c:pt idx="3">
                  <c:v>458</c:v>
                </c:pt>
                <c:pt idx="4">
                  <c:v>1874</c:v>
                </c:pt>
                <c:pt idx="5">
                  <c:v>2236</c:v>
                </c:pt>
                <c:pt idx="6">
                  <c:v>4023</c:v>
                </c:pt>
                <c:pt idx="7">
                  <c:v>19631</c:v>
                </c:pt>
                <c:pt idx="8">
                  <c:v>7934</c:v>
                </c:pt>
                <c:pt idx="9">
                  <c:v>892</c:v>
                </c:pt>
                <c:pt idx="10">
                  <c:v>9125</c:v>
                </c:pt>
                <c:pt idx="11">
                  <c:v>6470</c:v>
                </c:pt>
                <c:pt idx="12">
                  <c:v>7736</c:v>
                </c:pt>
                <c:pt idx="13">
                  <c:v>1492</c:v>
                </c:pt>
                <c:pt idx="14">
                  <c:v>3764</c:v>
                </c:pt>
                <c:pt idx="15">
                  <c:v>1294</c:v>
                </c:pt>
                <c:pt idx="16">
                  <c:v>1456</c:v>
                </c:pt>
                <c:pt idx="17">
                  <c:v>8336</c:v>
                </c:pt>
                <c:pt idx="18">
                  <c:v>2283</c:v>
                </c:pt>
                <c:pt idx="19">
                  <c:v>538</c:v>
                </c:pt>
                <c:pt idx="20">
                  <c:v>8240</c:v>
                </c:pt>
                <c:pt idx="21">
                  <c:v>9525</c:v>
                </c:pt>
                <c:pt idx="22">
                  <c:v>447</c:v>
                </c:pt>
                <c:pt idx="23">
                  <c:v>6445</c:v>
                </c:pt>
                <c:pt idx="24">
                  <c:v>4828</c:v>
                </c:pt>
                <c:pt idx="25">
                  <c:v>2552</c:v>
                </c:pt>
                <c:pt idx="26">
                  <c:v>5736</c:v>
                </c:pt>
                <c:pt idx="27">
                  <c:v>3477</c:v>
                </c:pt>
                <c:pt idx="28">
                  <c:v>2526</c:v>
                </c:pt>
                <c:pt idx="29">
                  <c:v>4805</c:v>
                </c:pt>
                <c:pt idx="30">
                  <c:v>6614</c:v>
                </c:pt>
                <c:pt idx="31">
                  <c:v>7030</c:v>
                </c:pt>
                <c:pt idx="32">
                  <c:v>7485</c:v>
                </c:pt>
                <c:pt idx="33">
                  <c:v>7694</c:v>
                </c:pt>
                <c:pt idx="34">
                  <c:v>5744</c:v>
                </c:pt>
                <c:pt idx="35">
                  <c:v>13495</c:v>
                </c:pt>
                <c:pt idx="36">
                  <c:v>4775</c:v>
                </c:pt>
                <c:pt idx="37">
                  <c:v>4247</c:v>
                </c:pt>
                <c:pt idx="38">
                  <c:v>1936</c:v>
                </c:pt>
                <c:pt idx="39">
                  <c:v>2350</c:v>
                </c:pt>
                <c:pt idx="40">
                  <c:v>2792</c:v>
                </c:pt>
                <c:pt idx="41">
                  <c:v>9652</c:v>
                </c:pt>
                <c:pt idx="42">
                  <c:v>1163</c:v>
                </c:pt>
                <c:pt idx="43">
                  <c:v>1197</c:v>
                </c:pt>
                <c:pt idx="44">
                  <c:v>8835</c:v>
                </c:pt>
                <c:pt idx="45">
                  <c:v>576</c:v>
                </c:pt>
                <c:pt idx="46">
                  <c:v>8081</c:v>
                </c:pt>
                <c:pt idx="47">
                  <c:v>4648</c:v>
                </c:pt>
                <c:pt idx="48">
                  <c:v>994</c:v>
                </c:pt>
                <c:pt idx="49">
                  <c:v>5487</c:v>
                </c:pt>
                <c:pt idx="50">
                  <c:v>9641</c:v>
                </c:pt>
                <c:pt idx="51">
                  <c:v>5820</c:v>
                </c:pt>
                <c:pt idx="52">
                  <c:v>7038</c:v>
                </c:pt>
                <c:pt idx="53">
                  <c:v>1632</c:v>
                </c:pt>
                <c:pt idx="54">
                  <c:v>15044</c:v>
                </c:pt>
                <c:pt idx="55">
                  <c:v>4153</c:v>
                </c:pt>
                <c:pt idx="56">
                  <c:v>520</c:v>
                </c:pt>
                <c:pt idx="57">
                  <c:v>3740</c:v>
                </c:pt>
                <c:pt idx="58">
                  <c:v>1559</c:v>
                </c:pt>
                <c:pt idx="59">
                  <c:v>1800</c:v>
                </c:pt>
                <c:pt idx="60">
                  <c:v>7495</c:v>
                </c:pt>
                <c:pt idx="61">
                  <c:v>5650</c:v>
                </c:pt>
                <c:pt idx="62">
                  <c:v>7817</c:v>
                </c:pt>
                <c:pt idx="63">
                  <c:v>1638</c:v>
                </c:pt>
                <c:pt idx="64">
                  <c:v>6490</c:v>
                </c:pt>
                <c:pt idx="65">
                  <c:v>2485</c:v>
                </c:pt>
                <c:pt idx="66">
                  <c:v>2956</c:v>
                </c:pt>
                <c:pt idx="67">
                  <c:v>7030</c:v>
                </c:pt>
                <c:pt idx="68">
                  <c:v>20379</c:v>
                </c:pt>
                <c:pt idx="69">
                  <c:v>3448</c:v>
                </c:pt>
                <c:pt idx="70">
                  <c:v>5192</c:v>
                </c:pt>
                <c:pt idx="71">
                  <c:v>6040</c:v>
                </c:pt>
                <c:pt idx="72">
                  <c:v>5835</c:v>
                </c:pt>
                <c:pt idx="73">
                  <c:v>7588</c:v>
                </c:pt>
                <c:pt idx="74">
                  <c:v>15795</c:v>
                </c:pt>
                <c:pt idx="75">
                  <c:v>9272</c:v>
                </c:pt>
                <c:pt idx="76">
                  <c:v>510</c:v>
                </c:pt>
                <c:pt idx="77">
                  <c:v>9835</c:v>
                </c:pt>
                <c:pt idx="78">
                  <c:v>3309</c:v>
                </c:pt>
                <c:pt idx="79">
                  <c:v>1960</c:v>
                </c:pt>
                <c:pt idx="80">
                  <c:v>10645</c:v>
                </c:pt>
                <c:pt idx="81">
                  <c:v>13146</c:v>
                </c:pt>
                <c:pt idx="82">
                  <c:v>11995</c:v>
                </c:pt>
                <c:pt idx="83">
                  <c:v>13688</c:v>
                </c:pt>
                <c:pt idx="84">
                  <c:v>11766</c:v>
                </c:pt>
                <c:pt idx="85">
                  <c:v>714</c:v>
                </c:pt>
                <c:pt idx="86">
                  <c:v>9479</c:v>
                </c:pt>
                <c:pt idx="87">
                  <c:v>2416</c:v>
                </c:pt>
                <c:pt idx="88">
                  <c:v>9874</c:v>
                </c:pt>
                <c:pt idx="89">
                  <c:v>1260</c:v>
                </c:pt>
                <c:pt idx="90">
                  <c:v>2244</c:v>
                </c:pt>
                <c:pt idx="91">
                  <c:v>11752</c:v>
                </c:pt>
                <c:pt idx="92">
                  <c:v>8233</c:v>
                </c:pt>
                <c:pt idx="93">
                  <c:v>6348</c:v>
                </c:pt>
                <c:pt idx="94">
                  <c:v>7408</c:v>
                </c:pt>
                <c:pt idx="95">
                  <c:v>6375</c:v>
                </c:pt>
                <c:pt idx="96">
                  <c:v>7770</c:v>
                </c:pt>
                <c:pt idx="97">
                  <c:v>2905</c:v>
                </c:pt>
                <c:pt idx="98">
                  <c:v>2100</c:v>
                </c:pt>
                <c:pt idx="99">
                  <c:v>1304</c:v>
                </c:pt>
              </c:numCache>
            </c:numRef>
          </c:val>
          <c:extLst>
            <c:ext xmlns:c16="http://schemas.microsoft.com/office/drawing/2014/chart" uri="{C3380CC4-5D6E-409C-BE32-E72D297353CC}">
              <c16:uniqueId val="{00000000-508C-4FC1-932E-80D826DC6728}"/>
            </c:ext>
          </c:extLst>
        </c:ser>
        <c:dLbls>
          <c:showLegendKey val="0"/>
          <c:showVal val="0"/>
          <c:showCatName val="0"/>
          <c:showSerName val="0"/>
          <c:showPercent val="0"/>
          <c:showBubbleSize val="0"/>
        </c:dLbls>
        <c:axId val="1599056656"/>
        <c:axId val="1599066256"/>
      </c:areaChart>
      <c:catAx>
        <c:axId val="15990566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66256"/>
        <c:crosses val="autoZero"/>
        <c:auto val="1"/>
        <c:lblAlgn val="ctr"/>
        <c:lblOffset val="100"/>
        <c:noMultiLvlLbl val="0"/>
      </c:catAx>
      <c:valAx>
        <c:axId val="159906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056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19</xdr:col>
      <xdr:colOff>586740</xdr:colOff>
      <xdr:row>4</xdr:row>
      <xdr:rowOff>178904</xdr:rowOff>
    </xdr:to>
    <xdr:sp macro="" textlink="">
      <xdr:nvSpPr>
        <xdr:cNvPr id="2" name="Rectangle: Rounded Corners 1">
          <a:extLst>
            <a:ext uri="{FF2B5EF4-FFF2-40B4-BE49-F238E27FC236}">
              <a16:creationId xmlns:a16="http://schemas.microsoft.com/office/drawing/2014/main" id="{808F7564-C469-B8CB-CE15-E76BCAF41095}"/>
            </a:ext>
          </a:extLst>
        </xdr:cNvPr>
        <xdr:cNvSpPr/>
      </xdr:nvSpPr>
      <xdr:spPr>
        <a:xfrm>
          <a:off x="30480" y="38100"/>
          <a:ext cx="12138660" cy="882926"/>
        </a:xfrm>
        <a:prstGeom prst="roundRect">
          <a:avLst/>
        </a:prstGeom>
        <a:no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257243</xdr:colOff>
      <xdr:row>5</xdr:row>
      <xdr:rowOff>108222</xdr:rowOff>
    </xdr:from>
    <xdr:to>
      <xdr:col>16</xdr:col>
      <xdr:colOff>168348</xdr:colOff>
      <xdr:row>10</xdr:row>
      <xdr:rowOff>150628</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1B752D07-AAFD-4D81-A9F2-B456AF43653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02423" y="1045107"/>
              <a:ext cx="2359499" cy="979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385304</xdr:colOff>
      <xdr:row>27</xdr:row>
      <xdr:rowOff>125619</xdr:rowOff>
    </xdr:from>
    <xdr:to>
      <xdr:col>20</xdr:col>
      <xdr:colOff>56994</xdr:colOff>
      <xdr:row>43</xdr:row>
      <xdr:rowOff>45196</xdr:rowOff>
    </xdr:to>
    <xdr:grpSp>
      <xdr:nvGrpSpPr>
        <xdr:cNvPr id="7" name="Group 6">
          <a:extLst>
            <a:ext uri="{FF2B5EF4-FFF2-40B4-BE49-F238E27FC236}">
              <a16:creationId xmlns:a16="http://schemas.microsoft.com/office/drawing/2014/main" id="{A6C5A874-DB37-781B-2FC3-3B3F99DFF2A1}"/>
            </a:ext>
          </a:extLst>
        </xdr:cNvPr>
        <xdr:cNvGrpSpPr/>
      </xdr:nvGrpSpPr>
      <xdr:grpSpPr>
        <a:xfrm>
          <a:off x="6457492" y="4947650"/>
          <a:ext cx="5743877" cy="2777077"/>
          <a:chOff x="192277" y="2051145"/>
          <a:chExt cx="5738160" cy="2840153"/>
        </a:xfrm>
      </xdr:grpSpPr>
      <xdr:sp macro="" textlink="">
        <xdr:nvSpPr>
          <xdr:cNvPr id="37" name="Rectangle: Rounded Corners 36">
            <a:extLst>
              <a:ext uri="{FF2B5EF4-FFF2-40B4-BE49-F238E27FC236}">
                <a16:creationId xmlns:a16="http://schemas.microsoft.com/office/drawing/2014/main" id="{D3D682B8-597B-444E-BC1A-2B1C3DE88C68}"/>
              </a:ext>
            </a:extLst>
          </xdr:cNvPr>
          <xdr:cNvSpPr/>
        </xdr:nvSpPr>
        <xdr:spPr>
          <a:xfrm>
            <a:off x="192277" y="2051145"/>
            <a:ext cx="5738160" cy="2840153"/>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 </a:t>
            </a:r>
            <a:r>
              <a:rPr lang="en-IN" sz="2000" b="1" baseline="0">
                <a:solidFill>
                  <a:schemeClr val="tx2">
                    <a:lumMod val="75000"/>
                  </a:schemeClr>
                </a:solidFill>
              </a:rPr>
              <a:t>UNIT SOLD BY PRODUCT</a:t>
            </a:r>
            <a:endParaRPr lang="en-IN" sz="2000" b="1">
              <a:solidFill>
                <a:schemeClr val="tx2">
                  <a:lumMod val="75000"/>
                </a:schemeClr>
              </a:solidFill>
            </a:endParaRPr>
          </a:p>
        </xdr:txBody>
      </xdr:sp>
      <xdr:graphicFrame macro="">
        <xdr:nvGraphicFramePr>
          <xdr:cNvPr id="35" name="Chart 34">
            <a:extLst>
              <a:ext uri="{FF2B5EF4-FFF2-40B4-BE49-F238E27FC236}">
                <a16:creationId xmlns:a16="http://schemas.microsoft.com/office/drawing/2014/main" id="{394780CB-E530-47F9-9DC7-FE952BBD495C}"/>
              </a:ext>
            </a:extLst>
          </xdr:cNvPr>
          <xdr:cNvGraphicFramePr>
            <a:graphicFrameLocks/>
          </xdr:cNvGraphicFramePr>
        </xdr:nvGraphicFramePr>
        <xdr:xfrm>
          <a:off x="300728" y="2400519"/>
          <a:ext cx="5343469" cy="236703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88606</xdr:colOff>
      <xdr:row>12</xdr:row>
      <xdr:rowOff>168940</xdr:rowOff>
    </xdr:from>
    <xdr:to>
      <xdr:col>2</xdr:col>
      <xdr:colOff>354420</xdr:colOff>
      <xdr:row>25</xdr:row>
      <xdr:rowOff>177209</xdr:rowOff>
    </xdr:to>
    <mc:AlternateContent xmlns:mc="http://schemas.openxmlformats.org/markup-compatibility/2006" xmlns:a14="http://schemas.microsoft.com/office/drawing/2010/main">
      <mc:Choice Requires="a14">
        <xdr:graphicFrame macro="">
          <xdr:nvGraphicFramePr>
            <xdr:cNvPr id="22" name="Product 1">
              <a:extLst>
                <a:ext uri="{FF2B5EF4-FFF2-40B4-BE49-F238E27FC236}">
                  <a16:creationId xmlns:a16="http://schemas.microsoft.com/office/drawing/2014/main" id="{AA43DDD7-897D-4675-AF42-EC04FADB7274}"/>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8606" y="2417465"/>
              <a:ext cx="1490011" cy="2444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310942</xdr:colOff>
      <xdr:row>11</xdr:row>
      <xdr:rowOff>39543</xdr:rowOff>
    </xdr:from>
    <xdr:to>
      <xdr:col>20</xdr:col>
      <xdr:colOff>55216</xdr:colOff>
      <xdr:row>26</xdr:row>
      <xdr:rowOff>148142</xdr:rowOff>
    </xdr:to>
    <xdr:grpSp>
      <xdr:nvGrpSpPr>
        <xdr:cNvPr id="9" name="Group 8">
          <a:extLst>
            <a:ext uri="{FF2B5EF4-FFF2-40B4-BE49-F238E27FC236}">
              <a16:creationId xmlns:a16="http://schemas.microsoft.com/office/drawing/2014/main" id="{A543A462-9E8D-7209-BEA9-B47EF5E1EB8E}"/>
            </a:ext>
          </a:extLst>
        </xdr:cNvPr>
        <xdr:cNvGrpSpPr/>
      </xdr:nvGrpSpPr>
      <xdr:grpSpPr>
        <a:xfrm>
          <a:off x="6383130" y="2004074"/>
          <a:ext cx="5816461" cy="2787506"/>
          <a:chOff x="6156339" y="2067170"/>
          <a:chExt cx="5819310" cy="2839661"/>
        </a:xfrm>
      </xdr:grpSpPr>
      <xdr:sp macro="" textlink="">
        <xdr:nvSpPr>
          <xdr:cNvPr id="39" name="Rectangle: Rounded Corners 38">
            <a:extLst>
              <a:ext uri="{FF2B5EF4-FFF2-40B4-BE49-F238E27FC236}">
                <a16:creationId xmlns:a16="http://schemas.microsoft.com/office/drawing/2014/main" id="{AC90F1BB-06BF-FC3B-BC8A-B7036D4C24FD}"/>
              </a:ext>
            </a:extLst>
          </xdr:cNvPr>
          <xdr:cNvSpPr/>
        </xdr:nvSpPr>
        <xdr:spPr>
          <a:xfrm>
            <a:off x="6156339" y="2067170"/>
            <a:ext cx="5819310" cy="2839661"/>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 </a:t>
            </a:r>
            <a:r>
              <a:rPr lang="en-IN" sz="2000" b="1" baseline="0">
                <a:solidFill>
                  <a:schemeClr val="tx2">
                    <a:lumMod val="75000"/>
                  </a:schemeClr>
                </a:solidFill>
              </a:rPr>
              <a:t>CATEGORY - WISE PROFITS</a:t>
            </a:r>
            <a:endParaRPr lang="en-IN" sz="2000" b="1">
              <a:solidFill>
                <a:schemeClr val="tx2">
                  <a:lumMod val="75000"/>
                </a:schemeClr>
              </a:solidFill>
            </a:endParaRPr>
          </a:p>
        </xdr:txBody>
      </xdr:sp>
      <xdr:graphicFrame macro="">
        <xdr:nvGraphicFramePr>
          <xdr:cNvPr id="6" name="Chart 5">
            <a:extLst>
              <a:ext uri="{FF2B5EF4-FFF2-40B4-BE49-F238E27FC236}">
                <a16:creationId xmlns:a16="http://schemas.microsoft.com/office/drawing/2014/main" id="{141EA635-0765-48A9-ADA8-5FAB7D1598B5}"/>
              </a:ext>
            </a:extLst>
          </xdr:cNvPr>
          <xdr:cNvGraphicFramePr>
            <a:graphicFrameLocks/>
          </xdr:cNvGraphicFramePr>
        </xdr:nvGraphicFramePr>
        <xdr:xfrm>
          <a:off x="6675929" y="2612491"/>
          <a:ext cx="4851569" cy="21531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2</xdr:col>
      <xdr:colOff>499845</xdr:colOff>
      <xdr:row>11</xdr:row>
      <xdr:rowOff>66541</xdr:rowOff>
    </xdr:from>
    <xdr:to>
      <xdr:col>10</xdr:col>
      <xdr:colOff>199867</xdr:colOff>
      <xdr:row>26</xdr:row>
      <xdr:rowOff>174153</xdr:rowOff>
    </xdr:to>
    <xdr:sp macro="" textlink="">
      <xdr:nvSpPr>
        <xdr:cNvPr id="33" name="Rectangle: Rounded Corners 32">
          <a:extLst>
            <a:ext uri="{FF2B5EF4-FFF2-40B4-BE49-F238E27FC236}">
              <a16:creationId xmlns:a16="http://schemas.microsoft.com/office/drawing/2014/main" id="{ECA5DF03-A33C-BE0D-0E29-9E688CE03EDE}"/>
            </a:ext>
          </a:extLst>
        </xdr:cNvPr>
        <xdr:cNvSpPr/>
      </xdr:nvSpPr>
      <xdr:spPr>
        <a:xfrm>
          <a:off x="1724042" y="2127689"/>
          <a:ext cx="4596809" cy="2918267"/>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REVENUE BY CATEGORY</a:t>
          </a:r>
        </a:p>
      </xdr:txBody>
    </xdr:sp>
    <xdr:clientData/>
  </xdr:twoCellAnchor>
  <xdr:twoCellAnchor>
    <xdr:from>
      <xdr:col>3</xdr:col>
      <xdr:colOff>49696</xdr:colOff>
      <xdr:row>13</xdr:row>
      <xdr:rowOff>140810</xdr:rowOff>
    </xdr:from>
    <xdr:to>
      <xdr:col>9</xdr:col>
      <xdr:colOff>229216</xdr:colOff>
      <xdr:row>26</xdr:row>
      <xdr:rowOff>70504</xdr:rowOff>
    </xdr:to>
    <xdr:graphicFrame macro="">
      <xdr:nvGraphicFramePr>
        <xdr:cNvPr id="34" name="Chart 33">
          <a:extLst>
            <a:ext uri="{FF2B5EF4-FFF2-40B4-BE49-F238E27FC236}">
              <a16:creationId xmlns:a16="http://schemas.microsoft.com/office/drawing/2014/main" id="{B528BEA1-E3C3-4D29-BEBC-BED2FD168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53103</xdr:colOff>
      <xdr:row>27</xdr:row>
      <xdr:rowOff>105519</xdr:rowOff>
    </xdr:from>
    <xdr:to>
      <xdr:col>10</xdr:col>
      <xdr:colOff>237344</xdr:colOff>
      <xdr:row>43</xdr:row>
      <xdr:rowOff>30914</xdr:rowOff>
    </xdr:to>
    <xdr:grpSp>
      <xdr:nvGrpSpPr>
        <xdr:cNvPr id="45" name="Group 44">
          <a:extLst>
            <a:ext uri="{FF2B5EF4-FFF2-40B4-BE49-F238E27FC236}">
              <a16:creationId xmlns:a16="http://schemas.microsoft.com/office/drawing/2014/main" id="{739839FF-22E9-DB03-121D-58A61CB6BDDA}"/>
            </a:ext>
          </a:extLst>
        </xdr:cNvPr>
        <xdr:cNvGrpSpPr/>
      </xdr:nvGrpSpPr>
      <xdr:grpSpPr>
        <a:xfrm>
          <a:off x="53103" y="4927550"/>
          <a:ext cx="6256429" cy="2782895"/>
          <a:chOff x="60223" y="5164699"/>
          <a:chExt cx="5885641" cy="2923428"/>
        </a:xfrm>
      </xdr:grpSpPr>
      <xdr:sp macro="" textlink="">
        <xdr:nvSpPr>
          <xdr:cNvPr id="24" name="Rectangle: Rounded Corners 23">
            <a:extLst>
              <a:ext uri="{FF2B5EF4-FFF2-40B4-BE49-F238E27FC236}">
                <a16:creationId xmlns:a16="http://schemas.microsoft.com/office/drawing/2014/main" id="{BAF12DE2-9FAB-5B72-D21F-AF5B5421D10B}"/>
              </a:ext>
            </a:extLst>
          </xdr:cNvPr>
          <xdr:cNvSpPr/>
        </xdr:nvSpPr>
        <xdr:spPr>
          <a:xfrm>
            <a:off x="160943" y="5164699"/>
            <a:ext cx="5784921" cy="2923428"/>
          </a:xfrm>
          <a:prstGeom prst="roundRect">
            <a:avLst>
              <a:gd name="adj" fmla="val 1025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2">
                    <a:lumMod val="75000"/>
                  </a:schemeClr>
                </a:solidFill>
              </a:rPr>
              <a:t>SALES</a:t>
            </a:r>
            <a:r>
              <a:rPr lang="en-IN" sz="2000" b="1" baseline="0">
                <a:solidFill>
                  <a:schemeClr val="tx2">
                    <a:lumMod val="75000"/>
                  </a:schemeClr>
                </a:solidFill>
              </a:rPr>
              <a:t> BY DATE</a:t>
            </a:r>
            <a:endParaRPr lang="en-IN" sz="2000" b="1">
              <a:solidFill>
                <a:schemeClr val="tx2">
                  <a:lumMod val="75000"/>
                </a:schemeClr>
              </a:solidFill>
            </a:endParaRPr>
          </a:p>
        </xdr:txBody>
      </xdr:sp>
      <xdr:graphicFrame macro="">
        <xdr:nvGraphicFramePr>
          <xdr:cNvPr id="44" name="Chart 43">
            <a:extLst>
              <a:ext uri="{FF2B5EF4-FFF2-40B4-BE49-F238E27FC236}">
                <a16:creationId xmlns:a16="http://schemas.microsoft.com/office/drawing/2014/main" id="{4BEAEF43-A16A-40A3-AF2A-37F51C3AAFCF}"/>
              </a:ext>
            </a:extLst>
          </xdr:cNvPr>
          <xdr:cNvGraphicFramePr>
            <a:graphicFrameLocks/>
          </xdr:cNvGraphicFramePr>
        </xdr:nvGraphicFramePr>
        <xdr:xfrm>
          <a:off x="60223" y="5605859"/>
          <a:ext cx="5758968" cy="2211944"/>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171747</xdr:colOff>
      <xdr:row>5</xdr:row>
      <xdr:rowOff>122987</xdr:rowOff>
    </xdr:from>
    <xdr:to>
      <xdr:col>3</xdr:col>
      <xdr:colOff>247741</xdr:colOff>
      <xdr:row>10</xdr:row>
      <xdr:rowOff>81798</xdr:rowOff>
    </xdr:to>
    <xdr:grpSp>
      <xdr:nvGrpSpPr>
        <xdr:cNvPr id="38" name="Group 37">
          <a:extLst>
            <a:ext uri="{FF2B5EF4-FFF2-40B4-BE49-F238E27FC236}">
              <a16:creationId xmlns:a16="http://schemas.microsoft.com/office/drawing/2014/main" id="{6EB6A8BA-6469-40C9-ADBD-97DC78BBC9D5}"/>
            </a:ext>
          </a:extLst>
        </xdr:cNvPr>
        <xdr:cNvGrpSpPr/>
      </xdr:nvGrpSpPr>
      <xdr:grpSpPr>
        <a:xfrm>
          <a:off x="171747" y="1015956"/>
          <a:ext cx="1897650" cy="851780"/>
          <a:chOff x="114454" y="1045408"/>
          <a:chExt cx="1897919" cy="875502"/>
        </a:xfrm>
      </xdr:grpSpPr>
      <xdr:grpSp>
        <xdr:nvGrpSpPr>
          <xdr:cNvPr id="10" name="Group 9">
            <a:extLst>
              <a:ext uri="{FF2B5EF4-FFF2-40B4-BE49-F238E27FC236}">
                <a16:creationId xmlns:a16="http://schemas.microsoft.com/office/drawing/2014/main" id="{1BCCA49C-8AC2-BC76-F56D-120AA8831A38}"/>
              </a:ext>
            </a:extLst>
          </xdr:cNvPr>
          <xdr:cNvGrpSpPr/>
        </xdr:nvGrpSpPr>
        <xdr:grpSpPr>
          <a:xfrm>
            <a:off x="114454" y="1045408"/>
            <a:ext cx="1897919" cy="875502"/>
            <a:chOff x="99060" y="1042225"/>
            <a:chExt cx="1907468" cy="872320"/>
          </a:xfrm>
        </xdr:grpSpPr>
        <xdr:sp macro="" textlink="">
          <xdr:nvSpPr>
            <xdr:cNvPr id="3" name="Rectangle: Rounded Corners 2">
              <a:extLst>
                <a:ext uri="{FF2B5EF4-FFF2-40B4-BE49-F238E27FC236}">
                  <a16:creationId xmlns:a16="http://schemas.microsoft.com/office/drawing/2014/main" id="{E41A0E38-E7E7-0557-C296-15DD11958BBD}"/>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389AD102-E34B-03D6-11DC-6E21D21FD59A}"/>
                </a:ext>
              </a:extLst>
            </xdr:cNvPr>
            <xdr:cNvSpPr txBox="1"/>
          </xdr:nvSpPr>
          <xdr:spPr>
            <a:xfrm>
              <a:off x="513178" y="1124219"/>
              <a:ext cx="1465349"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rPr>
                <a:t>TOTAL</a:t>
              </a:r>
              <a:r>
                <a:rPr lang="en-IN" sz="1400" b="1" baseline="0">
                  <a:solidFill>
                    <a:schemeClr val="tx2">
                      <a:lumMod val="75000"/>
                    </a:schemeClr>
                  </a:solidFill>
                </a:rPr>
                <a:t> REVENUE</a:t>
              </a:r>
              <a:endParaRPr lang="en-IN" sz="1400" b="1">
                <a:solidFill>
                  <a:schemeClr val="tx2">
                    <a:lumMod val="75000"/>
                  </a:schemeClr>
                </a:solidFill>
              </a:endParaRPr>
            </a:p>
          </xdr:txBody>
        </xdr:sp>
        <xdr:sp macro="" textlink="">
          <xdr:nvSpPr>
            <xdr:cNvPr id="5" name="Rectangle: Rounded Corners 4">
              <a:extLst>
                <a:ext uri="{FF2B5EF4-FFF2-40B4-BE49-F238E27FC236}">
                  <a16:creationId xmlns:a16="http://schemas.microsoft.com/office/drawing/2014/main" id="{4F419D2C-0CDF-70CF-8315-F91705B9E591}"/>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_1!$B$11">
          <xdr:nvSpPr>
            <xdr:cNvPr id="8" name="TextBox 7">
              <a:extLst>
                <a:ext uri="{FF2B5EF4-FFF2-40B4-BE49-F238E27FC236}">
                  <a16:creationId xmlns:a16="http://schemas.microsoft.com/office/drawing/2014/main" id="{64788241-04C7-4EFA-8E8B-F620877D1D07}"/>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D41F16-45A7-416C-805F-41613B340CE1}" type="TxLink">
                <a:rPr lang="en-US" sz="1800" b="1" i="0" u="none" strike="noStrike">
                  <a:solidFill>
                    <a:schemeClr val="tx2">
                      <a:lumMod val="75000"/>
                    </a:schemeClr>
                  </a:solidFill>
                  <a:latin typeface="Calibri"/>
                  <a:ea typeface="Calibri"/>
                  <a:cs typeface="Calibri"/>
                </a:rPr>
                <a:pPr algn="ctr"/>
                <a:t>₹575.70K</a:t>
              </a:fld>
              <a:endParaRPr lang="en-IN" sz="4000" b="1">
                <a:solidFill>
                  <a:schemeClr val="tx2">
                    <a:lumMod val="75000"/>
                  </a:schemeClr>
                </a:solidFill>
              </a:endParaRPr>
            </a:p>
          </xdr:txBody>
        </xdr:sp>
      </xdr:grpSp>
      <xdr:pic>
        <xdr:nvPicPr>
          <xdr:cNvPr id="25" name="Graphic 24" descr="Coins with solid fill">
            <a:extLst>
              <a:ext uri="{FF2B5EF4-FFF2-40B4-BE49-F238E27FC236}">
                <a16:creationId xmlns:a16="http://schemas.microsoft.com/office/drawing/2014/main" id="{62686B67-2BEC-2FEA-449E-6C586B0158F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9391" y="1248714"/>
            <a:ext cx="371708" cy="498220"/>
          </a:xfrm>
          <a:prstGeom prst="rect">
            <a:avLst/>
          </a:prstGeom>
        </xdr:spPr>
      </xdr:pic>
    </xdr:grpSp>
    <xdr:clientData/>
  </xdr:twoCellAnchor>
  <xdr:twoCellAnchor>
    <xdr:from>
      <xdr:col>4</xdr:col>
      <xdr:colOff>140230</xdr:colOff>
      <xdr:row>5</xdr:row>
      <xdr:rowOff>122987</xdr:rowOff>
    </xdr:from>
    <xdr:to>
      <xdr:col>7</xdr:col>
      <xdr:colOff>239524</xdr:colOff>
      <xdr:row>10</xdr:row>
      <xdr:rowOff>81798</xdr:rowOff>
    </xdr:to>
    <xdr:grpSp>
      <xdr:nvGrpSpPr>
        <xdr:cNvPr id="36" name="Group 35">
          <a:extLst>
            <a:ext uri="{FF2B5EF4-FFF2-40B4-BE49-F238E27FC236}">
              <a16:creationId xmlns:a16="http://schemas.microsoft.com/office/drawing/2014/main" id="{F7D65F28-E795-A995-2403-DAB29DC0AB53}"/>
            </a:ext>
          </a:extLst>
        </xdr:cNvPr>
        <xdr:cNvGrpSpPr/>
      </xdr:nvGrpSpPr>
      <xdr:grpSpPr>
        <a:xfrm>
          <a:off x="2569105" y="1015956"/>
          <a:ext cx="1920950" cy="851780"/>
          <a:chOff x="2277268" y="1045408"/>
          <a:chExt cx="1921219" cy="875502"/>
        </a:xfrm>
      </xdr:grpSpPr>
      <xdr:grpSp>
        <xdr:nvGrpSpPr>
          <xdr:cNvPr id="11" name="Group 10">
            <a:extLst>
              <a:ext uri="{FF2B5EF4-FFF2-40B4-BE49-F238E27FC236}">
                <a16:creationId xmlns:a16="http://schemas.microsoft.com/office/drawing/2014/main" id="{CA000ACF-34D8-599F-DD64-C7C44C6B453D}"/>
              </a:ext>
            </a:extLst>
          </xdr:cNvPr>
          <xdr:cNvGrpSpPr/>
        </xdr:nvGrpSpPr>
        <xdr:grpSpPr>
          <a:xfrm>
            <a:off x="2300567" y="1045408"/>
            <a:ext cx="1897920" cy="875502"/>
            <a:chOff x="99060" y="1042225"/>
            <a:chExt cx="1907468" cy="872320"/>
          </a:xfrm>
        </xdr:grpSpPr>
        <xdr:sp macro="" textlink="">
          <xdr:nvSpPr>
            <xdr:cNvPr id="12" name="Rectangle: Rounded Corners 11">
              <a:extLst>
                <a:ext uri="{FF2B5EF4-FFF2-40B4-BE49-F238E27FC236}">
                  <a16:creationId xmlns:a16="http://schemas.microsoft.com/office/drawing/2014/main" id="{CB6B395B-C8C3-2CE6-5FF1-ED19B5487F40}"/>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A69B08FE-6230-7823-7380-6BBE41B8DA32}"/>
                </a:ext>
              </a:extLst>
            </xdr:cNvPr>
            <xdr:cNvSpPr txBox="1"/>
          </xdr:nvSpPr>
          <xdr:spPr>
            <a:xfrm>
              <a:off x="535458" y="1124219"/>
              <a:ext cx="1390811"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latin typeface="+mn-lt"/>
                </a:rPr>
                <a:t>TOTAL</a:t>
              </a:r>
              <a:r>
                <a:rPr lang="en-IN" sz="1400" b="1" baseline="0">
                  <a:solidFill>
                    <a:schemeClr val="tx2">
                      <a:lumMod val="75000"/>
                    </a:schemeClr>
                  </a:solidFill>
                  <a:latin typeface="+mn-lt"/>
                </a:rPr>
                <a:t> PROFIT</a:t>
              </a:r>
              <a:endParaRPr lang="en-IN" sz="1400" b="1">
                <a:solidFill>
                  <a:schemeClr val="tx2">
                    <a:lumMod val="75000"/>
                  </a:schemeClr>
                </a:solidFill>
                <a:latin typeface="+mn-lt"/>
              </a:endParaRPr>
            </a:p>
          </xdr:txBody>
        </xdr:sp>
        <xdr:sp macro="" textlink="">
          <xdr:nvSpPr>
            <xdr:cNvPr id="14" name="Rectangle: Rounded Corners 13">
              <a:extLst>
                <a:ext uri="{FF2B5EF4-FFF2-40B4-BE49-F238E27FC236}">
                  <a16:creationId xmlns:a16="http://schemas.microsoft.com/office/drawing/2014/main" id="{DA8E3EC3-DF17-7C15-A52F-475D8696EB07}"/>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_1!E11">
          <xdr:nvSpPr>
            <xdr:cNvPr id="15" name="TextBox 14">
              <a:extLst>
                <a:ext uri="{FF2B5EF4-FFF2-40B4-BE49-F238E27FC236}">
                  <a16:creationId xmlns:a16="http://schemas.microsoft.com/office/drawing/2014/main" id="{D37A0785-9B0C-F483-226E-E4F842F7D628}"/>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384076-3170-423A-9E9A-DCEC35BC5386}" type="TxLink">
                <a:rPr lang="en-US" sz="1800" b="1" i="0" u="none" strike="noStrike">
                  <a:solidFill>
                    <a:schemeClr val="tx2">
                      <a:lumMod val="75000"/>
                    </a:schemeClr>
                  </a:solidFill>
                  <a:latin typeface="Calibri"/>
                  <a:ea typeface="Calibri"/>
                  <a:cs typeface="Calibri"/>
                </a:rPr>
                <a:pPr algn="ctr"/>
                <a:t>₹265.27K</a:t>
              </a:fld>
              <a:endParaRPr lang="en-IN" sz="6000" b="1">
                <a:solidFill>
                  <a:schemeClr val="tx2">
                    <a:lumMod val="75000"/>
                  </a:schemeClr>
                </a:solidFill>
              </a:endParaRPr>
            </a:p>
          </xdr:txBody>
        </xdr:sp>
      </xdr:grpSp>
      <xdr:pic>
        <xdr:nvPicPr>
          <xdr:cNvPr id="27" name="Graphic 26" descr="Line arrow: Clockwise curve with solid fill">
            <a:extLst>
              <a:ext uri="{FF2B5EF4-FFF2-40B4-BE49-F238E27FC236}">
                <a16:creationId xmlns:a16="http://schemas.microsoft.com/office/drawing/2014/main" id="{2F6E01DD-42AE-A321-52E4-CCCC2A08397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277268" y="1248714"/>
            <a:ext cx="495795" cy="494258"/>
          </a:xfrm>
          <a:prstGeom prst="rect">
            <a:avLst/>
          </a:prstGeom>
        </xdr:spPr>
      </xdr:pic>
    </xdr:grpSp>
    <xdr:clientData/>
  </xdr:twoCellAnchor>
  <xdr:twoCellAnchor>
    <xdr:from>
      <xdr:col>8</xdr:col>
      <xdr:colOff>56793</xdr:colOff>
      <xdr:row>5</xdr:row>
      <xdr:rowOff>151633</xdr:rowOff>
    </xdr:from>
    <xdr:to>
      <xdr:col>11</xdr:col>
      <xdr:colOff>237498</xdr:colOff>
      <xdr:row>10</xdr:row>
      <xdr:rowOff>110444</xdr:rowOff>
    </xdr:to>
    <xdr:grpSp>
      <xdr:nvGrpSpPr>
        <xdr:cNvPr id="32" name="Group 31">
          <a:extLst>
            <a:ext uri="{FF2B5EF4-FFF2-40B4-BE49-F238E27FC236}">
              <a16:creationId xmlns:a16="http://schemas.microsoft.com/office/drawing/2014/main" id="{7248301A-7193-D275-B1EC-EA50C4B033BC}"/>
            </a:ext>
          </a:extLst>
        </xdr:cNvPr>
        <xdr:cNvGrpSpPr/>
      </xdr:nvGrpSpPr>
      <xdr:grpSpPr>
        <a:xfrm>
          <a:off x="4914543" y="1044602"/>
          <a:ext cx="2002361" cy="851780"/>
          <a:chOff x="5069951" y="1079784"/>
          <a:chExt cx="2002630" cy="875502"/>
        </a:xfrm>
      </xdr:grpSpPr>
      <xdr:grpSp>
        <xdr:nvGrpSpPr>
          <xdr:cNvPr id="16" name="Group 15">
            <a:extLst>
              <a:ext uri="{FF2B5EF4-FFF2-40B4-BE49-F238E27FC236}">
                <a16:creationId xmlns:a16="http://schemas.microsoft.com/office/drawing/2014/main" id="{75CF9342-DA96-752A-C016-438D0AE21E5E}"/>
              </a:ext>
            </a:extLst>
          </xdr:cNvPr>
          <xdr:cNvGrpSpPr/>
        </xdr:nvGrpSpPr>
        <xdr:grpSpPr>
          <a:xfrm>
            <a:off x="5174663" y="1079784"/>
            <a:ext cx="1897918" cy="875502"/>
            <a:chOff x="99060" y="1042225"/>
            <a:chExt cx="1907468" cy="872320"/>
          </a:xfrm>
        </xdr:grpSpPr>
        <xdr:sp macro="" textlink="">
          <xdr:nvSpPr>
            <xdr:cNvPr id="17" name="Rectangle: Rounded Corners 16">
              <a:extLst>
                <a:ext uri="{FF2B5EF4-FFF2-40B4-BE49-F238E27FC236}">
                  <a16:creationId xmlns:a16="http://schemas.microsoft.com/office/drawing/2014/main" id="{5558DAF5-5057-D5E5-7916-DA1441BEEF62}"/>
                </a:ext>
              </a:extLst>
            </xdr:cNvPr>
            <xdr:cNvSpPr/>
          </xdr:nvSpPr>
          <xdr:spPr>
            <a:xfrm>
              <a:off x="99060" y="1058289"/>
              <a:ext cx="1907468" cy="8449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B542D041-AA46-F7CD-5C6A-D6DBD8F28B36}"/>
                </a:ext>
              </a:extLst>
            </xdr:cNvPr>
            <xdr:cNvSpPr txBox="1"/>
          </xdr:nvSpPr>
          <xdr:spPr>
            <a:xfrm>
              <a:off x="535458" y="1124219"/>
              <a:ext cx="1390811" cy="36828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schemeClr>
                  </a:solidFill>
                  <a:latin typeface="+mn-lt"/>
                </a:rPr>
                <a:t>TOTAL</a:t>
              </a:r>
              <a:r>
                <a:rPr lang="en-IN" sz="1400" b="1" baseline="0">
                  <a:solidFill>
                    <a:schemeClr val="tx2">
                      <a:lumMod val="75000"/>
                    </a:schemeClr>
                  </a:solidFill>
                  <a:latin typeface="+mn-lt"/>
                </a:rPr>
                <a:t> UNITS</a:t>
              </a:r>
              <a:endParaRPr lang="en-IN" sz="1400" b="1">
                <a:solidFill>
                  <a:schemeClr val="tx2">
                    <a:lumMod val="75000"/>
                  </a:schemeClr>
                </a:solidFill>
                <a:latin typeface="+mn-lt"/>
              </a:endParaRPr>
            </a:p>
          </xdr:txBody>
        </xdr:sp>
        <xdr:sp macro="" textlink="">
          <xdr:nvSpPr>
            <xdr:cNvPr id="19" name="Rectangle: Rounded Corners 18">
              <a:extLst>
                <a:ext uri="{FF2B5EF4-FFF2-40B4-BE49-F238E27FC236}">
                  <a16:creationId xmlns:a16="http://schemas.microsoft.com/office/drawing/2014/main" id="{9DDDEE87-F19E-2D3D-9EBD-84B17CD4AF77}"/>
                </a:ext>
              </a:extLst>
            </xdr:cNvPr>
            <xdr:cNvSpPr/>
          </xdr:nvSpPr>
          <xdr:spPr>
            <a:xfrm>
              <a:off x="108122" y="1042225"/>
              <a:ext cx="427337" cy="8723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_Table_1!K11">
          <xdr:nvSpPr>
            <xdr:cNvPr id="20" name="TextBox 19">
              <a:extLst>
                <a:ext uri="{FF2B5EF4-FFF2-40B4-BE49-F238E27FC236}">
                  <a16:creationId xmlns:a16="http://schemas.microsoft.com/office/drawing/2014/main" id="{F4AE4670-1A29-F2C3-05C4-B455A0AF8C33}"/>
                </a:ext>
              </a:extLst>
            </xdr:cNvPr>
            <xdr:cNvSpPr txBox="1"/>
          </xdr:nvSpPr>
          <xdr:spPr>
            <a:xfrm>
              <a:off x="581478" y="1477527"/>
              <a:ext cx="1304816" cy="2788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BF80A8-D643-435D-8864-5C906805FF65}" type="TxLink">
                <a:rPr lang="en-US" sz="1800" b="1" i="0" u="none" strike="noStrike">
                  <a:solidFill>
                    <a:schemeClr val="tx2">
                      <a:lumMod val="75000"/>
                    </a:schemeClr>
                  </a:solidFill>
                  <a:latin typeface="Calibri"/>
                  <a:ea typeface="Calibri"/>
                  <a:cs typeface="Calibri"/>
                </a:rPr>
                <a:pPr algn="ctr"/>
                <a:t>524</a:t>
              </a:fld>
              <a:endParaRPr lang="en-IN" sz="8800" b="1">
                <a:solidFill>
                  <a:schemeClr val="tx2">
                    <a:lumMod val="75000"/>
                  </a:schemeClr>
                </a:solidFill>
              </a:endParaRPr>
            </a:p>
          </xdr:txBody>
        </xdr:sp>
      </xdr:grpSp>
      <xdr:pic>
        <xdr:nvPicPr>
          <xdr:cNvPr id="29" name="Graphic 28" descr="Man with solid fill">
            <a:extLst>
              <a:ext uri="{FF2B5EF4-FFF2-40B4-BE49-F238E27FC236}">
                <a16:creationId xmlns:a16="http://schemas.microsoft.com/office/drawing/2014/main" id="{F8734544-2ED3-F01A-4194-7EA0263169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069951" y="1225854"/>
            <a:ext cx="624577" cy="623040"/>
          </a:xfrm>
          <a:prstGeom prst="rect">
            <a:avLst/>
          </a:prstGeom>
        </xdr:spPr>
      </xdr:pic>
    </xdr:grpSp>
    <xdr:clientData/>
  </xdr:twoCellAnchor>
  <xdr:twoCellAnchor editAs="oneCell">
    <xdr:from>
      <xdr:col>17</xdr:col>
      <xdr:colOff>289153</xdr:colOff>
      <xdr:row>4</xdr:row>
      <xdr:rowOff>51648</xdr:rowOff>
    </xdr:from>
    <xdr:to>
      <xdr:col>19</xdr:col>
      <xdr:colOff>283535</xdr:colOff>
      <xdr:row>11</xdr:row>
      <xdr:rowOff>158814</xdr:rowOff>
    </xdr:to>
    <xdr:pic>
      <xdr:nvPicPr>
        <xdr:cNvPr id="31" name="Graphic 30" descr="Teacher with solid fill">
          <a:extLst>
            <a:ext uri="{FF2B5EF4-FFF2-40B4-BE49-F238E27FC236}">
              <a16:creationId xmlns:a16="http://schemas.microsoft.com/office/drawing/2014/main" id="{87327DC6-7228-E649-FB40-0827CAAAE48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682479" y="795927"/>
          <a:ext cx="1217126" cy="1409654"/>
        </a:xfrm>
        <a:prstGeom prst="rect">
          <a:avLst/>
        </a:prstGeom>
      </xdr:spPr>
    </xdr:pic>
    <xdr:clientData/>
  </xdr:twoCellAnchor>
  <xdr:twoCellAnchor>
    <xdr:from>
      <xdr:col>4</xdr:col>
      <xdr:colOff>186070</xdr:colOff>
      <xdr:row>0</xdr:row>
      <xdr:rowOff>168349</xdr:rowOff>
    </xdr:from>
    <xdr:to>
      <xdr:col>13</xdr:col>
      <xdr:colOff>549349</xdr:colOff>
      <xdr:row>4</xdr:row>
      <xdr:rowOff>97465</xdr:rowOff>
    </xdr:to>
    <xdr:sp macro="" textlink="">
      <xdr:nvSpPr>
        <xdr:cNvPr id="40" name="TextBox 39">
          <a:extLst>
            <a:ext uri="{FF2B5EF4-FFF2-40B4-BE49-F238E27FC236}">
              <a16:creationId xmlns:a16="http://schemas.microsoft.com/office/drawing/2014/main" id="{CB8CF2CF-86AD-F932-CD4D-5368B5A4B391}"/>
            </a:ext>
          </a:extLst>
        </xdr:cNvPr>
        <xdr:cNvSpPr txBox="1"/>
      </xdr:nvSpPr>
      <xdr:spPr>
        <a:xfrm>
          <a:off x="2631558" y="168349"/>
          <a:ext cx="5865628" cy="673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solidFill>
                <a:schemeClr val="tx2">
                  <a:lumMod val="75000"/>
                </a:schemeClr>
              </a:solidFill>
            </a:rPr>
            <a:t>SALES DASHBOARD</a:t>
          </a:r>
        </a:p>
      </xdr:txBody>
    </xdr:sp>
    <xdr:clientData/>
  </xdr:twoCellAnchor>
  <xdr:twoCellAnchor editAs="oneCell">
    <xdr:from>
      <xdr:col>4</xdr:col>
      <xdr:colOff>333910</xdr:colOff>
      <xdr:row>0</xdr:row>
      <xdr:rowOff>77057</xdr:rowOff>
    </xdr:from>
    <xdr:to>
      <xdr:col>5</xdr:col>
      <xdr:colOff>513708</xdr:colOff>
      <xdr:row>4</xdr:row>
      <xdr:rowOff>145551</xdr:rowOff>
    </xdr:to>
    <xdr:pic>
      <xdr:nvPicPr>
        <xdr:cNvPr id="42" name="Graphic 41" descr="Money with solid fill">
          <a:extLst>
            <a:ext uri="{FF2B5EF4-FFF2-40B4-BE49-F238E27FC236}">
              <a16:creationId xmlns:a16="http://schemas.microsoft.com/office/drawing/2014/main" id="{3490BEB9-C025-8C61-3DAD-E5E322D2B5E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65461" y="77057"/>
          <a:ext cx="787685" cy="7876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47944</xdr:colOff>
      <xdr:row>12</xdr:row>
      <xdr:rowOff>13971</xdr:rowOff>
    </xdr:from>
    <xdr:to>
      <xdr:col>3</xdr:col>
      <xdr:colOff>849315</xdr:colOff>
      <xdr:row>23</xdr:row>
      <xdr:rowOff>95250</xdr:rowOff>
    </xdr:to>
    <xdr:graphicFrame macro="">
      <xdr:nvGraphicFramePr>
        <xdr:cNvPr id="2" name="Chart 1">
          <a:extLst>
            <a:ext uri="{FF2B5EF4-FFF2-40B4-BE49-F238E27FC236}">
              <a16:creationId xmlns:a16="http://schemas.microsoft.com/office/drawing/2014/main" id="{90364E89-7B7B-BD70-B77B-3915AB666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67945</xdr:colOff>
      <xdr:row>12</xdr:row>
      <xdr:rowOff>13970</xdr:rowOff>
    </xdr:from>
    <xdr:to>
      <xdr:col>9</xdr:col>
      <xdr:colOff>7938</xdr:colOff>
      <xdr:row>23</xdr:row>
      <xdr:rowOff>47624</xdr:rowOff>
    </xdr:to>
    <xdr:graphicFrame macro="">
      <xdr:nvGraphicFramePr>
        <xdr:cNvPr id="3" name="Chart 2">
          <a:extLst>
            <a:ext uri="{FF2B5EF4-FFF2-40B4-BE49-F238E27FC236}">
              <a16:creationId xmlns:a16="http://schemas.microsoft.com/office/drawing/2014/main" id="{BBC88B67-DB73-B516-329B-456B0FDE7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595947</xdr:colOff>
      <xdr:row>24</xdr:row>
      <xdr:rowOff>91759</xdr:rowOff>
    </xdr:from>
    <xdr:to>
      <xdr:col>11</xdr:col>
      <xdr:colOff>63499</xdr:colOff>
      <xdr:row>39</xdr:row>
      <xdr:rowOff>71438</xdr:rowOff>
    </xdr:to>
    <xdr:graphicFrame macro="">
      <xdr:nvGraphicFramePr>
        <xdr:cNvPr id="4" name="Chart 3">
          <a:extLst>
            <a:ext uri="{FF2B5EF4-FFF2-40B4-BE49-F238E27FC236}">
              <a16:creationId xmlns:a16="http://schemas.microsoft.com/office/drawing/2014/main" id="{638848D2-831B-02E0-0699-CA9DB2D47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78248</xdr:colOff>
      <xdr:row>24</xdr:row>
      <xdr:rowOff>65723</xdr:rowOff>
    </xdr:from>
    <xdr:to>
      <xdr:col>5</xdr:col>
      <xdr:colOff>378956</xdr:colOff>
      <xdr:row>39</xdr:row>
      <xdr:rowOff>65723</xdr:rowOff>
    </xdr:to>
    <xdr:graphicFrame macro="">
      <xdr:nvGraphicFramePr>
        <xdr:cNvPr id="5" name="Chart 4">
          <a:extLst>
            <a:ext uri="{FF2B5EF4-FFF2-40B4-BE49-F238E27FC236}">
              <a16:creationId xmlns:a16="http://schemas.microsoft.com/office/drawing/2014/main" id="{511C76E7-F4BB-8FC2-D497-5E4D33862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333693</xdr:colOff>
      <xdr:row>1</xdr:row>
      <xdr:rowOff>71437</xdr:rowOff>
    </xdr:from>
    <xdr:to>
      <xdr:col>14</xdr:col>
      <xdr:colOff>328931</xdr:colOff>
      <xdr:row>14</xdr:row>
      <xdr:rowOff>23813</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5E15F4BD-FFC1-23C3-06FC-B4CB587950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834881" y="254000"/>
              <a:ext cx="1828800" cy="2325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416878</xdr:colOff>
      <xdr:row>15</xdr:row>
      <xdr:rowOff>19684</xdr:rowOff>
    </xdr:from>
    <xdr:to>
      <xdr:col>11</xdr:col>
      <xdr:colOff>285115</xdr:colOff>
      <xdr:row>21</xdr:row>
      <xdr:rowOff>87312</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11823BE8-9A30-89A8-F2F8-24F7CB366D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57503" y="2758122"/>
              <a:ext cx="1828800" cy="1163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3</xdr:row>
      <xdr:rowOff>11430</xdr:rowOff>
    </xdr:from>
    <xdr:to>
      <xdr:col>10</xdr:col>
      <xdr:colOff>297180</xdr:colOff>
      <xdr:row>18</xdr:row>
      <xdr:rowOff>11430</xdr:rowOff>
    </xdr:to>
    <xdr:graphicFrame macro="">
      <xdr:nvGraphicFramePr>
        <xdr:cNvPr id="2" name="Chart 1">
          <a:extLst>
            <a:ext uri="{FF2B5EF4-FFF2-40B4-BE49-F238E27FC236}">
              <a16:creationId xmlns:a16="http://schemas.microsoft.com/office/drawing/2014/main" id="{847A6068-8D74-6122-FD8E-D4ECCD4DB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RDHAN_R" refreshedDate="46144.827590046298" createdVersion="8" refreshedVersion="8" minRefreshableVersion="3" recordCount="173" xr:uid="{B841FFB0-9781-487B-A3DC-A641685C6B7A}">
  <cacheSource type="worksheet">
    <worksheetSource ref="A1:I174" sheet="DATA"/>
  </cacheSource>
  <cacheFields count="10">
    <cacheField name="Date" numFmtId="0">
      <sharedItems count="100">
        <s v="18-01-2026"/>
        <s v="17-03-2026"/>
        <s v="30-01-2026"/>
        <s v="02-04-2026"/>
        <s v="05-02-2026"/>
        <s v="13-02-2026"/>
        <s v="14-01-2026"/>
        <s v="14-02-2026"/>
        <s v="10-03-2026"/>
        <s v="17-04-2026"/>
        <s v="09-01-2026"/>
        <s v="11-01-2026"/>
        <s v="23-03-2026"/>
        <s v="27-03-2026"/>
        <s v="19-03-2026"/>
        <s v="01-03-2026"/>
        <s v="29-01-2026"/>
        <s v="16-04-2026"/>
        <s v="05-03-2026"/>
        <s v="06-04-2026"/>
        <s v="07-01-2026"/>
        <s v="29-03-2026"/>
        <s v="18-03-2026"/>
        <s v="01-05-2026"/>
        <s v="24-04-2026"/>
        <s v="01-01-2026"/>
        <s v="27-04-2026"/>
        <s v="11-03-2026"/>
        <s v="03-01-2026"/>
        <s v="31-01-2026"/>
        <s v="15-04-2026"/>
        <s v="17-01-2026"/>
        <s v="22-04-2026"/>
        <s v="04-04-2026"/>
        <s v="01-02-2026"/>
        <s v="12-03-2026"/>
        <s v="01-04-2026"/>
        <s v="04-03-2026"/>
        <s v="15-03-2026"/>
        <s v="22-02-2026"/>
        <s v="15-02-2026"/>
        <s v="28-03-2026"/>
        <s v="13-04-2026"/>
        <s v="27-02-2026"/>
        <s v="21-04-2026"/>
        <s v="19-02-2026"/>
        <s v="24-02-2026"/>
        <s v="25-01-2026"/>
        <s v="16-03-2026"/>
        <s v="07-03-2026"/>
        <s v="26-03-2026"/>
        <s v="27-01-2026"/>
        <s v="02-01-2026"/>
        <s v="23-04-2026"/>
        <s v="26-02-2026"/>
        <s v="25-03-2026"/>
        <s v="30-04-2026"/>
        <s v="03-02-2026"/>
        <s v="09-04-2026"/>
        <s v="15-01-2026"/>
        <s v="13-03-2026"/>
        <s v="05-04-2026"/>
        <s v="18-02-2026"/>
        <s v="28-04-2026"/>
        <s v="04-01-2026"/>
        <s v="23-01-2026"/>
        <s v="25-02-2026"/>
        <s v="02-02-2026"/>
        <s v="29-04-2026"/>
        <s v="16-01-2026"/>
        <s v="11-02-2026"/>
        <s v="26-04-2026"/>
        <s v="11-04-2026"/>
        <s v="12-04-2026"/>
        <s v="06-01-2026"/>
        <s v="28-02-2026"/>
        <s v="31-03-2026"/>
        <s v="10-02-2026"/>
        <s v="02-03-2026"/>
        <s v="22-03-2026"/>
        <s v="06-02-2026"/>
        <s v="20-01-2026"/>
        <s v="23-02-2026"/>
        <s v="20-04-2026"/>
        <s v="08-02-2026"/>
        <s v="21-03-2026"/>
        <s v="18-04-2026"/>
        <s v="20-02-2026"/>
        <s v="19-04-2026"/>
        <s v="24-03-2026"/>
        <s v="20-03-2026"/>
        <s v="08-04-2026"/>
        <s v="21-02-2026"/>
        <s v="09-02-2026"/>
        <s v="24-01-2026"/>
        <s v="03-04-2026"/>
        <s v="13-01-2026"/>
        <s v="10-01-2026"/>
        <s v="10-04-2026"/>
        <s v="08-01-2026"/>
      </sharedItems>
      <fieldGroup par="9"/>
    </cacheField>
    <cacheField name="Product" numFmtId="0">
      <sharedItems count="7">
        <s v="Shoes"/>
        <s v="T-Shirt"/>
        <s v="Hoodie"/>
        <s v="Bag"/>
        <s v="Watch"/>
        <s v="Sneakers"/>
        <s v="Cap"/>
      </sharedItems>
    </cacheField>
    <cacheField name="Category" numFmtId="0">
      <sharedItems/>
    </cacheField>
    <cacheField name="Quantity" numFmtId="0">
      <sharedItems containsSemiMixedTypes="0" containsString="0" containsNumber="1" containsInteger="1" minValue="1" maxValue="5"/>
    </cacheField>
    <cacheField name="Selling Price" numFmtId="0">
      <sharedItems containsSemiMixedTypes="0" containsString="0" containsNumber="1" containsInteger="1" minValue="204" maxValue="1897"/>
    </cacheField>
    <cacheField name="Cost Price" numFmtId="0">
      <sharedItems containsSemiMixedTypes="0" containsString="0" containsNumber="1" containsInteger="1" minValue="51" maxValue="1455"/>
    </cacheField>
    <cacheField name="Customer" numFmtId="0">
      <sharedItems/>
    </cacheField>
    <cacheField name="Profit" numFmtId="0">
      <sharedItems containsSemiMixedTypes="0" containsString="0" containsNumber="1" containsInteger="1" minValue="-850" maxValue="5215"/>
    </cacheField>
    <cacheField name="Revenue" numFmtId="0">
      <sharedItems containsSemiMixedTypes="0" containsString="0" containsNumber="1" containsInteger="1" minValue="275" maxValue="9280"/>
    </cacheField>
    <cacheField name="Date2" numFmtId="0" databaseField="0">
      <fieldGroup base="0">
        <discretePr count="10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RDHAN_R" refreshedDate="46148.658613541666" createdVersion="8" refreshedVersion="8" minRefreshableVersion="3" recordCount="173" xr:uid="{4F5334DE-FEE9-46D8-A727-1D2A75CA754C}">
  <cacheSource type="worksheet">
    <worksheetSource name="Table1"/>
  </cacheSource>
  <cacheFields count="9">
    <cacheField name="Date" numFmtId="0">
      <sharedItems/>
    </cacheField>
    <cacheField name="Product" numFmtId="0">
      <sharedItems count="7">
        <s v="Shoes"/>
        <s v="T-Shirt"/>
        <s v="Hoodie"/>
        <s v="Bag"/>
        <s v="Watch"/>
        <s v="Sneakers"/>
        <s v="Cap"/>
      </sharedItems>
    </cacheField>
    <cacheField name="Category" numFmtId="0">
      <sharedItems count="3">
        <s v="Footwear"/>
        <s v="Clothing"/>
        <s v="Accessories"/>
      </sharedItems>
    </cacheField>
    <cacheField name="Quantity" numFmtId="0">
      <sharedItems containsSemiMixedTypes="0" containsString="0" containsNumber="1" containsInteger="1" minValue="1" maxValue="5"/>
    </cacheField>
    <cacheField name="Selling Price" numFmtId="0">
      <sharedItems containsSemiMixedTypes="0" containsString="0" containsNumber="1" containsInteger="1" minValue="204" maxValue="1897"/>
    </cacheField>
    <cacheField name="Cost Price" numFmtId="0">
      <sharedItems containsSemiMixedTypes="0" containsString="0" containsNumber="1" containsInteger="1" minValue="51" maxValue="1455"/>
    </cacheField>
    <cacheField name="Customer" numFmtId="0">
      <sharedItems/>
    </cacheField>
    <cacheField name="Profit" numFmtId="0">
      <sharedItems containsSemiMixedTypes="0" containsString="0" containsNumber="1" containsInteger="1" minValue="-850" maxValue="5215"/>
    </cacheField>
    <cacheField name="Revenue" numFmtId="0">
      <sharedItems containsSemiMixedTypes="0" containsString="0" containsNumber="1" containsInteger="1" minValue="275" maxValue="9280"/>
    </cacheField>
  </cacheFields>
  <extLst>
    <ext xmlns:x14="http://schemas.microsoft.com/office/spreadsheetml/2009/9/main" uri="{725AE2AE-9491-48be-B2B4-4EB974FC3084}">
      <x14:pivotCacheDefinition pivotCacheId="16546025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s v="Footwear"/>
    <n v="1"/>
    <n v="1573"/>
    <n v="944"/>
    <s v="C035"/>
    <n v="629"/>
    <n v="1573"/>
  </r>
  <r>
    <x v="1"/>
    <x v="1"/>
    <s v="Clothing"/>
    <n v="4"/>
    <n v="408"/>
    <n v="253"/>
    <s v="C006"/>
    <n v="620"/>
    <n v="1632"/>
  </r>
  <r>
    <x v="2"/>
    <x v="0"/>
    <s v="Footwear"/>
    <n v="5"/>
    <n v="1554"/>
    <n v="853"/>
    <s v="C036"/>
    <n v="3505"/>
    <n v="7770"/>
  </r>
  <r>
    <x v="3"/>
    <x v="0"/>
    <s v="Footwear"/>
    <n v="5"/>
    <n v="1507"/>
    <n v="878"/>
    <s v="C029"/>
    <n v="3145"/>
    <n v="7535"/>
  </r>
  <r>
    <x v="4"/>
    <x v="2"/>
    <s v="Clothing"/>
    <n v="1"/>
    <n v="1294"/>
    <n v="570"/>
    <s v="C045"/>
    <n v="724"/>
    <n v="1294"/>
  </r>
  <r>
    <x v="5"/>
    <x v="3"/>
    <s v="Accessories"/>
    <n v="3"/>
    <n v="839"/>
    <n v="377"/>
    <s v="C049"/>
    <n v="1386"/>
    <n v="2517"/>
  </r>
  <r>
    <x v="6"/>
    <x v="4"/>
    <s v="Accessories"/>
    <n v="1"/>
    <n v="1197"/>
    <n v="662"/>
    <s v="C023"/>
    <n v="535"/>
    <n v="1197"/>
  </r>
  <r>
    <x v="7"/>
    <x v="5"/>
    <s v="Footwear"/>
    <n v="5"/>
    <n v="1767"/>
    <n v="755"/>
    <s v="C047"/>
    <n v="5060"/>
    <n v="8835"/>
  </r>
  <r>
    <x v="8"/>
    <x v="3"/>
    <s v="Accessories"/>
    <n v="1"/>
    <n v="896"/>
    <n v="360"/>
    <s v="C036"/>
    <n v="536"/>
    <n v="896"/>
  </r>
  <r>
    <x v="9"/>
    <x v="4"/>
    <s v="Accessories"/>
    <n v="5"/>
    <n v="1192"/>
    <n v="723"/>
    <s v="C013"/>
    <n v="2345"/>
    <n v="5960"/>
  </r>
  <r>
    <x v="10"/>
    <x v="6"/>
    <s v="Clothing"/>
    <n v="1"/>
    <n v="369"/>
    <n v="79"/>
    <s v="C050"/>
    <n v="290"/>
    <n v="369"/>
  </r>
  <r>
    <x v="11"/>
    <x v="4"/>
    <s v="Accessories"/>
    <n v="2"/>
    <n v="1125"/>
    <n v="698"/>
    <s v="C018"/>
    <n v="854"/>
    <n v="2250"/>
  </r>
  <r>
    <x v="12"/>
    <x v="3"/>
    <s v="Accessories"/>
    <n v="3"/>
    <n v="841"/>
    <n v="397"/>
    <s v="C023"/>
    <n v="1332"/>
    <n v="2523"/>
  </r>
  <r>
    <x v="13"/>
    <x v="0"/>
    <s v="Footwear"/>
    <n v="3"/>
    <n v="1579"/>
    <n v="937"/>
    <s v="C042"/>
    <n v="1926"/>
    <n v="4737"/>
  </r>
  <r>
    <x v="14"/>
    <x v="1"/>
    <s v="Clothing"/>
    <n v="2"/>
    <n v="536"/>
    <n v="343"/>
    <s v="C016"/>
    <n v="386"/>
    <n v="1072"/>
  </r>
  <r>
    <x v="15"/>
    <x v="0"/>
    <s v="Footwear"/>
    <n v="4"/>
    <n v="1469"/>
    <n v="931"/>
    <s v="C045"/>
    <n v="2152"/>
    <n v="5876"/>
  </r>
  <r>
    <x v="16"/>
    <x v="2"/>
    <s v="Clothing"/>
    <n v="3"/>
    <n v="1296"/>
    <n v="649"/>
    <s v="C004"/>
    <n v="1941"/>
    <n v="3888"/>
  </r>
  <r>
    <x v="17"/>
    <x v="0"/>
    <s v="Footwear"/>
    <n v="1"/>
    <n v="1480"/>
    <n v="901"/>
    <s v="C018"/>
    <n v="579"/>
    <n v="1480"/>
  </r>
  <r>
    <x v="18"/>
    <x v="6"/>
    <s v="Clothing"/>
    <n v="4"/>
    <n v="364"/>
    <n v="108"/>
    <s v="C010"/>
    <n v="1024"/>
    <n v="1456"/>
  </r>
  <r>
    <x v="0"/>
    <x v="4"/>
    <s v="Accessories"/>
    <n v="2"/>
    <n v="1290"/>
    <n v="721"/>
    <s v="C035"/>
    <n v="1138"/>
    <n v="2580"/>
  </r>
  <r>
    <x v="19"/>
    <x v="4"/>
    <s v="Accessories"/>
    <n v="5"/>
    <n v="1209"/>
    <n v="724"/>
    <s v="C026"/>
    <n v="2425"/>
    <n v="6045"/>
  </r>
  <r>
    <x v="16"/>
    <x v="4"/>
    <s v="Accessories"/>
    <n v="2"/>
    <n v="1230"/>
    <n v="713"/>
    <s v="C006"/>
    <n v="1034"/>
    <n v="2460"/>
  </r>
  <r>
    <x v="20"/>
    <x v="5"/>
    <s v="Footwear"/>
    <n v="1"/>
    <n v="1739"/>
    <n v="830"/>
    <s v="C011"/>
    <n v="909"/>
    <n v="1739"/>
  </r>
  <r>
    <x v="21"/>
    <x v="5"/>
    <s v="Footwear"/>
    <n v="4"/>
    <n v="1852"/>
    <n v="758"/>
    <s v="C025"/>
    <n v="4376"/>
    <n v="7408"/>
  </r>
  <r>
    <x v="22"/>
    <x v="3"/>
    <s v="Accessories"/>
    <n v="4"/>
    <n v="935"/>
    <n v="382"/>
    <s v="C036"/>
    <n v="2212"/>
    <n v="3740"/>
  </r>
  <r>
    <x v="23"/>
    <x v="5"/>
    <s v="Footwear"/>
    <n v="1"/>
    <n v="1874"/>
    <n v="842"/>
    <s v="C008"/>
    <n v="1032"/>
    <n v="1874"/>
  </r>
  <r>
    <x v="24"/>
    <x v="6"/>
    <s v="Clothing"/>
    <n v="5"/>
    <n v="392"/>
    <n v="84"/>
    <s v="C050"/>
    <n v="1540"/>
    <n v="1960"/>
  </r>
  <r>
    <x v="5"/>
    <x v="6"/>
    <s v="Clothing"/>
    <n v="1"/>
    <n v="275"/>
    <n v="105"/>
    <s v="C011"/>
    <n v="170"/>
    <n v="275"/>
  </r>
  <r>
    <x v="25"/>
    <x v="3"/>
    <s v="Accessories"/>
    <n v="3"/>
    <n v="928"/>
    <n v="447"/>
    <s v="C012"/>
    <n v="1443"/>
    <n v="2784"/>
  </r>
  <r>
    <x v="26"/>
    <x v="2"/>
    <s v="Clothing"/>
    <n v="1"/>
    <n v="1260"/>
    <n v="588"/>
    <s v="C041"/>
    <n v="672"/>
    <n v="1260"/>
  </r>
  <r>
    <x v="14"/>
    <x v="2"/>
    <s v="Clothing"/>
    <n v="2"/>
    <n v="1139"/>
    <n v="597"/>
    <s v="C049"/>
    <n v="1084"/>
    <n v="2278"/>
  </r>
  <r>
    <x v="27"/>
    <x v="0"/>
    <s v="Footwear"/>
    <n v="5"/>
    <n v="1400"/>
    <n v="926"/>
    <s v="C021"/>
    <n v="2370"/>
    <n v="7000"/>
  </r>
  <r>
    <x v="28"/>
    <x v="3"/>
    <s v="Accessories"/>
    <n v="1"/>
    <n v="892"/>
    <n v="389"/>
    <s v="C016"/>
    <n v="503"/>
    <n v="892"/>
  </r>
  <r>
    <x v="29"/>
    <x v="1"/>
    <s v="Clothing"/>
    <n v="5"/>
    <n v="420"/>
    <n v="260"/>
    <s v="C047"/>
    <n v="800"/>
    <n v="2100"/>
  </r>
  <r>
    <x v="30"/>
    <x v="3"/>
    <s v="Accessories"/>
    <n v="1"/>
    <n v="994"/>
    <n v="418"/>
    <s v="C050"/>
    <n v="576"/>
    <n v="994"/>
  </r>
  <r>
    <x v="31"/>
    <x v="0"/>
    <s v="Footwear"/>
    <n v="4"/>
    <n v="1540"/>
    <n v="871"/>
    <s v="C017"/>
    <n v="2676"/>
    <n v="6160"/>
  </r>
  <r>
    <x v="32"/>
    <x v="2"/>
    <s v="Clothing"/>
    <n v="5"/>
    <n v="1208"/>
    <n v="577"/>
    <s v="C035"/>
    <n v="3155"/>
    <n v="6040"/>
  </r>
  <r>
    <x v="33"/>
    <x v="5"/>
    <s v="Footwear"/>
    <n v="2"/>
    <n v="1882"/>
    <n v="789"/>
    <s v="C026"/>
    <n v="2186"/>
    <n v="3764"/>
  </r>
  <r>
    <x v="34"/>
    <x v="1"/>
    <s v="Clothing"/>
    <n v="2"/>
    <n v="416"/>
    <n v="293"/>
    <s v="C002"/>
    <n v="246"/>
    <n v="832"/>
  </r>
  <r>
    <x v="35"/>
    <x v="2"/>
    <s v="Clothing"/>
    <n v="2"/>
    <n v="1250"/>
    <n v="578"/>
    <s v="C001"/>
    <n v="1344"/>
    <n v="2500"/>
  </r>
  <r>
    <x v="36"/>
    <x v="1"/>
    <s v="Clothing"/>
    <n v="1"/>
    <n v="458"/>
    <n v="258"/>
    <s v="C003"/>
    <n v="200"/>
    <n v="458"/>
  </r>
  <r>
    <x v="37"/>
    <x v="6"/>
    <s v="Clothing"/>
    <n v="2"/>
    <n v="338"/>
    <n v="66"/>
    <s v="C047"/>
    <n v="544"/>
    <n v="676"/>
  </r>
  <r>
    <x v="38"/>
    <x v="2"/>
    <s v="Clothing"/>
    <n v="4"/>
    <n v="1162"/>
    <n v="650"/>
    <s v="C031"/>
    <n v="2048"/>
    <n v="4648"/>
  </r>
  <r>
    <x v="39"/>
    <x v="5"/>
    <s v="Footwear"/>
    <n v="2"/>
    <n v="1724"/>
    <n v="762"/>
    <s v="C043"/>
    <n v="1924"/>
    <n v="3448"/>
  </r>
  <r>
    <x v="40"/>
    <x v="3"/>
    <s v="Accessories"/>
    <n v="4"/>
    <n v="905"/>
    <n v="409"/>
    <s v="C047"/>
    <n v="1984"/>
    <n v="3620"/>
  </r>
  <r>
    <x v="41"/>
    <x v="1"/>
    <s v="Clothing"/>
    <n v="1"/>
    <n v="415"/>
    <n v="301"/>
    <s v="C047"/>
    <n v="114"/>
    <n v="415"/>
  </r>
  <r>
    <x v="42"/>
    <x v="4"/>
    <s v="Accessories"/>
    <n v="1"/>
    <n v="1163"/>
    <n v="674"/>
    <s v="C013"/>
    <n v="489"/>
    <n v="1163"/>
  </r>
  <r>
    <x v="43"/>
    <x v="2"/>
    <s v="Clothing"/>
    <n v="2"/>
    <n v="1208"/>
    <n v="573"/>
    <s v="C018"/>
    <n v="1270"/>
    <n v="2416"/>
  </r>
  <r>
    <x v="34"/>
    <x v="3"/>
    <s v="Accessories"/>
    <n v="1"/>
    <n v="913"/>
    <n v="420"/>
    <s v="C007"/>
    <n v="493"/>
    <n v="913"/>
  </r>
  <r>
    <x v="44"/>
    <x v="0"/>
    <s v="Footwear"/>
    <n v="4"/>
    <n v="1415"/>
    <n v="871"/>
    <s v="C025"/>
    <n v="2176"/>
    <n v="5660"/>
  </r>
  <r>
    <x v="45"/>
    <x v="1"/>
    <s v="Clothing"/>
    <n v="3"/>
    <n v="600"/>
    <n v="350"/>
    <s v="C030"/>
    <n v="750"/>
    <n v="1800"/>
  </r>
  <r>
    <x v="46"/>
    <x v="4"/>
    <s v="Accessories"/>
    <n v="5"/>
    <n v="1269"/>
    <n v="741"/>
    <s v="C032"/>
    <n v="2640"/>
    <n v="6345"/>
  </r>
  <r>
    <x v="47"/>
    <x v="0"/>
    <s v="Footwear"/>
    <n v="3"/>
    <n v="1455"/>
    <n v="857"/>
    <s v="C038"/>
    <n v="1794"/>
    <n v="4365"/>
  </r>
  <r>
    <x v="27"/>
    <x v="6"/>
    <s v="Clothing"/>
    <n v="1"/>
    <n v="391"/>
    <n v="514"/>
    <s v="C004"/>
    <n v="-123"/>
    <n v="391"/>
  </r>
  <r>
    <x v="48"/>
    <x v="1"/>
    <s v="Clothing"/>
    <n v="4"/>
    <n v="528"/>
    <n v="317"/>
    <s v="C011"/>
    <n v="844"/>
    <n v="2112"/>
  </r>
  <r>
    <x v="49"/>
    <x v="1"/>
    <s v="Clothing"/>
    <n v="1"/>
    <n v="447"/>
    <n v="258"/>
    <s v="C039"/>
    <n v="189"/>
    <n v="447"/>
  </r>
  <r>
    <x v="41"/>
    <x v="1"/>
    <s v="Clothing"/>
    <n v="2"/>
    <n v="503"/>
    <n v="265"/>
    <s v="C037"/>
    <n v="476"/>
    <n v="1006"/>
  </r>
  <r>
    <x v="48"/>
    <x v="0"/>
    <s v="Footwear"/>
    <n v="5"/>
    <n v="1410"/>
    <n v="929"/>
    <s v="C006"/>
    <n v="2405"/>
    <n v="7050"/>
  </r>
  <r>
    <x v="50"/>
    <x v="3"/>
    <s v="Accessories"/>
    <n v="5"/>
    <n v="944"/>
    <n v="416"/>
    <s v="C021"/>
    <n v="2640"/>
    <n v="4720"/>
  </r>
  <r>
    <x v="51"/>
    <x v="4"/>
    <s v="Accessories"/>
    <n v="3"/>
    <n v="1161"/>
    <n v="683"/>
    <s v="C026"/>
    <n v="1434"/>
    <n v="3483"/>
  </r>
  <r>
    <x v="13"/>
    <x v="0"/>
    <s v="Footwear"/>
    <n v="3"/>
    <n v="1517"/>
    <n v="890"/>
    <s v="C049"/>
    <n v="1881"/>
    <n v="4551"/>
  </r>
  <r>
    <x v="52"/>
    <x v="1"/>
    <s v="Clothing"/>
    <n v="4"/>
    <n v="559"/>
    <n v="322"/>
    <s v="C007"/>
    <n v="948"/>
    <n v="2236"/>
  </r>
  <r>
    <x v="8"/>
    <x v="1"/>
    <s v="Clothing"/>
    <n v="2"/>
    <n v="529"/>
    <n v="283"/>
    <s v="C009"/>
    <n v="492"/>
    <n v="1058"/>
  </r>
  <r>
    <x v="53"/>
    <x v="4"/>
    <s v="Accessories"/>
    <n v="1"/>
    <n v="1162"/>
    <n v="697"/>
    <s v="C019"/>
    <n v="465"/>
    <n v="1162"/>
  </r>
  <r>
    <x v="54"/>
    <x v="0"/>
    <s v="Footwear"/>
    <n v="5"/>
    <n v="1580"/>
    <n v="888"/>
    <s v="C040"/>
    <n v="3460"/>
    <n v="7900"/>
  </r>
  <r>
    <x v="55"/>
    <x v="5"/>
    <s v="Footwear"/>
    <n v="5"/>
    <n v="1702"/>
    <n v="835"/>
    <s v="C036"/>
    <n v="4335"/>
    <n v="8510"/>
  </r>
  <r>
    <x v="56"/>
    <x v="4"/>
    <s v="Accessories"/>
    <n v="1"/>
    <n v="1134"/>
    <n v="683"/>
    <s v="C008"/>
    <n v="451"/>
    <n v="1134"/>
  </r>
  <r>
    <x v="19"/>
    <x v="1"/>
    <s v="Clothing"/>
    <n v="5"/>
    <n v="439"/>
    <n v="284"/>
    <s v="C019"/>
    <n v="775"/>
    <n v="2195"/>
  </r>
  <r>
    <x v="51"/>
    <x v="2"/>
    <s v="Clothing"/>
    <n v="3"/>
    <n v="1152"/>
    <n v="1210"/>
    <s v="C041"/>
    <n v="-174"/>
    <n v="3456"/>
  </r>
  <r>
    <x v="57"/>
    <x v="5"/>
    <s v="Footwear"/>
    <n v="5"/>
    <n v="1825"/>
    <n v="782"/>
    <s v="C004"/>
    <n v="5215"/>
    <n v="9125"/>
  </r>
  <r>
    <x v="12"/>
    <x v="1"/>
    <s v="Clothing"/>
    <n v="4"/>
    <n v="470"/>
    <n v="255"/>
    <s v="C001"/>
    <n v="860"/>
    <n v="1880"/>
  </r>
  <r>
    <x v="58"/>
    <x v="4"/>
    <s v="Accessories"/>
    <n v="2"/>
    <n v="1263"/>
    <n v="683"/>
    <s v="C011"/>
    <n v="1160"/>
    <n v="2526"/>
  </r>
  <r>
    <x v="54"/>
    <x v="6"/>
    <s v="Clothing"/>
    <n v="5"/>
    <n v="380"/>
    <n v="104"/>
    <s v="C036"/>
    <n v="1380"/>
    <n v="1900"/>
  </r>
  <r>
    <x v="59"/>
    <x v="1"/>
    <s v="Clothing"/>
    <n v="1"/>
    <n v="576"/>
    <n v="269"/>
    <s v="C035"/>
    <n v="307"/>
    <n v="576"/>
  </r>
  <r>
    <x v="9"/>
    <x v="1"/>
    <s v="Clothing"/>
    <n v="3"/>
    <n v="549"/>
    <n v="320"/>
    <s v="C010"/>
    <n v="687"/>
    <n v="1647"/>
  </r>
  <r>
    <x v="31"/>
    <x v="3"/>
    <s v="Accessories"/>
    <n v="1"/>
    <n v="878"/>
    <n v="396"/>
    <s v="C003"/>
    <n v="482"/>
    <n v="878"/>
  </r>
  <r>
    <x v="51"/>
    <x v="4"/>
    <s v="Accessories"/>
    <n v="2"/>
    <n v="1270"/>
    <n v="663"/>
    <s v="C023"/>
    <n v="1214"/>
    <n v="2540"/>
  </r>
  <r>
    <x v="60"/>
    <x v="5"/>
    <s v="Footwear"/>
    <n v="4"/>
    <n v="1858"/>
    <n v="845"/>
    <s v="C010"/>
    <n v="4052"/>
    <n v="7432"/>
  </r>
  <r>
    <x v="44"/>
    <x v="0"/>
    <s v="Footwear"/>
    <n v="2"/>
    <n v="1445"/>
    <n v="902"/>
    <s v="C002"/>
    <n v="1086"/>
    <n v="2890"/>
  </r>
  <r>
    <x v="61"/>
    <x v="0"/>
    <s v="Footwear"/>
    <n v="3"/>
    <n v="1600"/>
    <n v="902"/>
    <s v="C043"/>
    <n v="2094"/>
    <n v="4800"/>
  </r>
  <r>
    <x v="61"/>
    <x v="5"/>
    <s v="Footwear"/>
    <n v="2"/>
    <n v="1768"/>
    <n v="770"/>
    <s v="C045"/>
    <n v="1996"/>
    <n v="3536"/>
  </r>
  <r>
    <x v="62"/>
    <x v="1"/>
    <s v="Clothing"/>
    <n v="1"/>
    <n v="520"/>
    <n v="278"/>
    <s v="C013"/>
    <n v="242"/>
    <n v="520"/>
  </r>
  <r>
    <x v="63"/>
    <x v="5"/>
    <s v="Footwear"/>
    <n v="4"/>
    <n v="1789"/>
    <n v="789"/>
    <s v="C015"/>
    <n v="4000"/>
    <n v="7156"/>
  </r>
  <r>
    <x v="64"/>
    <x v="0"/>
    <s v="Footwear"/>
    <n v="2"/>
    <n v="1502"/>
    <n v="892"/>
    <s v="C018"/>
    <n v="1220"/>
    <n v="3004"/>
  </r>
  <r>
    <x v="10"/>
    <x v="5"/>
    <s v="Footwear"/>
    <n v="3"/>
    <n v="1789"/>
    <n v="832"/>
    <s v="C033"/>
    <n v="2871"/>
    <n v="5367"/>
  </r>
  <r>
    <x v="41"/>
    <x v="3"/>
    <s v="Accessories"/>
    <n v="5"/>
    <n v="884"/>
    <n v="353"/>
    <s v="C008"/>
    <n v="2655"/>
    <n v="4420"/>
  </r>
  <r>
    <x v="65"/>
    <x v="4"/>
    <s v="Accessories"/>
    <n v="5"/>
    <n v="1167"/>
    <n v="654"/>
    <s v="C007"/>
    <n v="2565"/>
    <n v="5835"/>
  </r>
  <r>
    <x v="66"/>
    <x v="2"/>
    <s v="Clothing"/>
    <n v="3"/>
    <n v="1286"/>
    <n v="650"/>
    <s v="C021"/>
    <n v="1908"/>
    <n v="3858"/>
  </r>
  <r>
    <x v="14"/>
    <x v="3"/>
    <s v="Accessories"/>
    <n v="5"/>
    <n v="829"/>
    <n v="399"/>
    <s v="C037"/>
    <n v="2150"/>
    <n v="4145"/>
  </r>
  <r>
    <x v="67"/>
    <x v="0"/>
    <s v="Footwear"/>
    <n v="1"/>
    <n v="1581"/>
    <n v="905"/>
    <s v="C001"/>
    <n v="676"/>
    <n v="1581"/>
  </r>
  <r>
    <x v="68"/>
    <x v="2"/>
    <s v="Clothing"/>
    <n v="5"/>
    <n v="1275"/>
    <n v="642"/>
    <s v="C048"/>
    <n v="3165"/>
    <n v="6375"/>
  </r>
  <r>
    <x v="13"/>
    <x v="6"/>
    <s v="Clothing"/>
    <n v="2"/>
    <n v="293"/>
    <n v="105"/>
    <s v="C005"/>
    <n v="376"/>
    <n v="586"/>
  </r>
  <r>
    <x v="63"/>
    <x v="6"/>
    <s v="Clothing"/>
    <n v="3"/>
    <n v="359"/>
    <n v="90"/>
    <s v="C043"/>
    <n v="807"/>
    <n v="1077"/>
  </r>
  <r>
    <x v="69"/>
    <x v="5"/>
    <s v="Footwear"/>
    <n v="3"/>
    <n v="1829"/>
    <n v="789"/>
    <s v="C043"/>
    <n v="3120"/>
    <n v="5487"/>
  </r>
  <r>
    <x v="70"/>
    <x v="3"/>
    <s v="Accessories"/>
    <n v="4"/>
    <n v="978"/>
    <n v="387"/>
    <s v="C036"/>
    <n v="2364"/>
    <n v="3912"/>
  </r>
  <r>
    <x v="47"/>
    <x v="0"/>
    <s v="Footwear"/>
    <n v="4"/>
    <n v="1570"/>
    <n v="898"/>
    <s v="C044"/>
    <n v="2688"/>
    <n v="6280"/>
  </r>
  <r>
    <x v="71"/>
    <x v="6"/>
    <s v="Clothing"/>
    <n v="2"/>
    <n v="357"/>
    <n v="122"/>
    <s v="C020"/>
    <n v="470"/>
    <n v="714"/>
  </r>
  <r>
    <x v="35"/>
    <x v="3"/>
    <s v="Accessories"/>
    <n v="1"/>
    <n v="877"/>
    <n v="386"/>
    <s v="C014"/>
    <n v="491"/>
    <n v="877"/>
  </r>
  <r>
    <x v="72"/>
    <x v="3"/>
    <s v="Accessories"/>
    <n v="5"/>
    <n v="955"/>
    <n v="433"/>
    <s v="C021"/>
    <n v="2610"/>
    <n v="4775"/>
  </r>
  <r>
    <x v="54"/>
    <x v="3"/>
    <s v="Accessories"/>
    <n v="4"/>
    <n v="972"/>
    <n v="377"/>
    <s v="C033"/>
    <n v="2380"/>
    <n v="3888"/>
  </r>
  <r>
    <x v="73"/>
    <x v="3"/>
    <s v="Accessories"/>
    <n v="2"/>
    <n v="968"/>
    <n v="360"/>
    <s v="C019"/>
    <n v="1216"/>
    <n v="1936"/>
  </r>
  <r>
    <x v="50"/>
    <x v="2"/>
    <s v="Clothing"/>
    <n v="5"/>
    <n v="1185"/>
    <n v="561"/>
    <s v="C049"/>
    <n v="3120"/>
    <n v="5925"/>
  </r>
  <r>
    <x v="41"/>
    <x v="0"/>
    <s v="Footwear"/>
    <n v="3"/>
    <n v="1457"/>
    <n v="875"/>
    <s v="C010"/>
    <n v="1746"/>
    <n v="4371"/>
  </r>
  <r>
    <x v="74"/>
    <x v="1"/>
    <s v="Clothing"/>
    <n v="2"/>
    <n v="521"/>
    <n v="328"/>
    <s v="C050"/>
    <n v="386"/>
    <n v="1042"/>
  </r>
  <r>
    <x v="75"/>
    <x v="1"/>
    <s v="Clothing"/>
    <n v="4"/>
    <n v="561"/>
    <n v="323"/>
    <s v="C013"/>
    <n v="952"/>
    <n v="2244"/>
  </r>
  <r>
    <x v="76"/>
    <x v="6"/>
    <s v="Clothing"/>
    <n v="4"/>
    <n v="326"/>
    <n v="101"/>
    <s v="C016"/>
    <n v="900"/>
    <n v="1304"/>
  </r>
  <r>
    <x v="55"/>
    <x v="0"/>
    <s v="Footwear"/>
    <n v="1"/>
    <n v="1592"/>
    <n v="948"/>
    <s v="C007"/>
    <n v="644"/>
    <n v="1592"/>
  </r>
  <r>
    <x v="46"/>
    <x v="5"/>
    <s v="Footwear"/>
    <n v="2"/>
    <n v="1745"/>
    <n v="839"/>
    <s v="C034"/>
    <n v="1812"/>
    <n v="3490"/>
  </r>
  <r>
    <x v="20"/>
    <x v="3"/>
    <s v="Accessories"/>
    <n v="5"/>
    <n v="863"/>
    <n v="365"/>
    <s v="C030"/>
    <n v="2490"/>
    <n v="4315"/>
  </r>
  <r>
    <x v="77"/>
    <x v="2"/>
    <s v="Clothing"/>
    <n v="4"/>
    <n v="1256"/>
    <n v="642"/>
    <s v="C033"/>
    <n v="2456"/>
    <n v="5024"/>
  </r>
  <r>
    <x v="9"/>
    <x v="3"/>
    <s v="Accessories"/>
    <n v="5"/>
    <n v="914"/>
    <n v="370"/>
    <s v="C048"/>
    <n v="2720"/>
    <n v="4570"/>
  </r>
  <r>
    <x v="78"/>
    <x v="5"/>
    <s v="Footwear"/>
    <n v="4"/>
    <n v="1766"/>
    <n v="846"/>
    <s v="C016"/>
    <n v="3680"/>
    <n v="7064"/>
  </r>
  <r>
    <x v="12"/>
    <x v="5"/>
    <s v="Footwear"/>
    <n v="3"/>
    <n v="1896"/>
    <n v="849"/>
    <s v="C034"/>
    <n v="3141"/>
    <n v="5688"/>
  </r>
  <r>
    <x v="79"/>
    <x v="3"/>
    <s v="Accessories"/>
    <n v="2"/>
    <n v="870"/>
    <n v="406"/>
    <s v="C005"/>
    <n v="928"/>
    <n v="1740"/>
  </r>
  <r>
    <x v="80"/>
    <x v="6"/>
    <s v="Clothing"/>
    <n v="2"/>
    <n v="269"/>
    <n v="92"/>
    <s v="C021"/>
    <n v="354"/>
    <n v="538"/>
  </r>
  <r>
    <x v="11"/>
    <x v="2"/>
    <s v="Clothing"/>
    <n v="2"/>
    <n v="1138"/>
    <n v="579"/>
    <s v="C025"/>
    <n v="1118"/>
    <n v="2276"/>
  </r>
  <r>
    <x v="81"/>
    <x v="6"/>
    <s v="Clothing"/>
    <n v="2"/>
    <n v="216"/>
    <n v="103"/>
    <s v="C027"/>
    <n v="226"/>
    <n v="432"/>
  </r>
  <r>
    <x v="27"/>
    <x v="4"/>
    <s v="Accessories"/>
    <n v="4"/>
    <n v="1206"/>
    <n v="657"/>
    <s v="C014"/>
    <n v="2196"/>
    <n v="4824"/>
  </r>
  <r>
    <x v="82"/>
    <x v="5"/>
    <s v="Footwear"/>
    <n v="4"/>
    <n v="1897"/>
    <n v="824"/>
    <s v="C045"/>
    <n v="4292"/>
    <n v="7588"/>
  </r>
  <r>
    <x v="83"/>
    <x v="1"/>
    <s v="Clothing"/>
    <n v="5"/>
    <n v="497"/>
    <n v="311"/>
    <s v="C001"/>
    <n v="930"/>
    <n v="2485"/>
  </r>
  <r>
    <x v="84"/>
    <x v="4"/>
    <s v="Accessories"/>
    <n v="4"/>
    <n v="1207"/>
    <n v="718"/>
    <s v="C048"/>
    <n v="1956"/>
    <n v="4828"/>
  </r>
  <r>
    <x v="27"/>
    <x v="6"/>
    <s v="Clothing"/>
    <n v="5"/>
    <n v="256"/>
    <n v="112"/>
    <s v="C015"/>
    <n v="720"/>
    <n v="1280"/>
  </r>
  <r>
    <x v="66"/>
    <x v="4"/>
    <s v="Accessories"/>
    <n v="4"/>
    <n v="1107"/>
    <n v="699"/>
    <s v="C022"/>
    <n v="1632"/>
    <n v="4428"/>
  </r>
  <r>
    <x v="41"/>
    <x v="6"/>
    <s v="Clothing"/>
    <n v="4"/>
    <n v="385"/>
    <n v="71"/>
    <s v="C030"/>
    <n v="1256"/>
    <n v="1540"/>
  </r>
  <r>
    <x v="85"/>
    <x v="0"/>
    <s v="Footwear"/>
    <n v="5"/>
    <n v="1406"/>
    <n v="900"/>
    <s v="C038"/>
    <n v="2530"/>
    <n v="7030"/>
  </r>
  <r>
    <x v="50"/>
    <x v="2"/>
    <s v="Clothing"/>
    <n v="1"/>
    <n v="1121"/>
    <n v="632"/>
    <s v="C028"/>
    <n v="489"/>
    <n v="1121"/>
  </r>
  <r>
    <x v="44"/>
    <x v="0"/>
    <s v="Footwear"/>
    <n v="4"/>
    <n v="1446"/>
    <n v="856"/>
    <s v="C017"/>
    <n v="2360"/>
    <n v="5784"/>
  </r>
  <r>
    <x v="70"/>
    <x v="3"/>
    <s v="Accessories"/>
    <n v="2"/>
    <n v="916"/>
    <n v="391"/>
    <s v="C022"/>
    <n v="1050"/>
    <n v="1832"/>
  </r>
  <r>
    <x v="53"/>
    <x v="5"/>
    <s v="Footwear"/>
    <n v="4"/>
    <n v="1771"/>
    <n v="846"/>
    <s v="C027"/>
    <n v="3700"/>
    <n v="7084"/>
  </r>
  <r>
    <x v="9"/>
    <x v="4"/>
    <s v="Accessories"/>
    <n v="1"/>
    <n v="1220"/>
    <n v="652"/>
    <s v="C048"/>
    <n v="568"/>
    <n v="1220"/>
  </r>
  <r>
    <x v="20"/>
    <x v="2"/>
    <s v="Clothing"/>
    <n v="3"/>
    <n v="1157"/>
    <n v="633"/>
    <s v="C005"/>
    <n v="1572"/>
    <n v="3471"/>
  </r>
  <r>
    <x v="55"/>
    <x v="5"/>
    <s v="Footwear"/>
    <n v="1"/>
    <n v="1893"/>
    <n v="753"/>
    <s v="C016"/>
    <n v="1140"/>
    <n v="1893"/>
  </r>
  <r>
    <x v="86"/>
    <x v="0"/>
    <s v="Footwear"/>
    <n v="1"/>
    <n v="1559"/>
    <n v="869"/>
    <s v="C016"/>
    <n v="690"/>
    <n v="1559"/>
  </r>
  <r>
    <x v="78"/>
    <x v="0"/>
    <s v="Footwear"/>
    <n v="1"/>
    <n v="1544"/>
    <n v="877"/>
    <s v="C030"/>
    <n v="667"/>
    <n v="1544"/>
  </r>
  <r>
    <x v="67"/>
    <x v="6"/>
    <s v="Clothing"/>
    <n v="3"/>
    <n v="242"/>
    <n v="127"/>
    <s v="C039"/>
    <n v="345"/>
    <n v="726"/>
  </r>
  <r>
    <x v="3"/>
    <x v="6"/>
    <s v="Clothing"/>
    <n v="1"/>
    <n v="399"/>
    <n v="70"/>
    <s v="C020"/>
    <n v="329"/>
    <n v="399"/>
  </r>
  <r>
    <x v="48"/>
    <x v="1"/>
    <s v="Clothing"/>
    <n v="1"/>
    <n v="479"/>
    <n v="323"/>
    <s v="C044"/>
    <n v="156"/>
    <n v="479"/>
  </r>
  <r>
    <x v="87"/>
    <x v="3"/>
    <s v="Accessories"/>
    <n v="2"/>
    <n v="819"/>
    <n v="425"/>
    <s v="C045"/>
    <n v="788"/>
    <n v="1638"/>
  </r>
  <r>
    <x v="79"/>
    <x v="5"/>
    <s v="Footwear"/>
    <n v="2"/>
    <n v="1726"/>
    <n v="839"/>
    <s v="C050"/>
    <n v="1774"/>
    <n v="3452"/>
  </r>
  <r>
    <x v="88"/>
    <x v="4"/>
    <s v="Accessories"/>
    <n v="5"/>
    <n v="1130"/>
    <n v="722"/>
    <s v="C003"/>
    <n v="2040"/>
    <n v="5650"/>
  </r>
  <r>
    <x v="8"/>
    <x v="4"/>
    <s v="Accessories"/>
    <n v="4"/>
    <n v="1269"/>
    <n v="697"/>
    <s v="C005"/>
    <n v="2288"/>
    <n v="5076"/>
  </r>
  <r>
    <x v="89"/>
    <x v="2"/>
    <s v="Clothing"/>
    <n v="3"/>
    <n v="1103"/>
    <n v="603"/>
    <s v="C032"/>
    <n v="1500"/>
    <n v="3309"/>
  </r>
  <r>
    <x v="66"/>
    <x v="1"/>
    <s v="Clothing"/>
    <n v="3"/>
    <n v="562"/>
    <n v="308"/>
    <s v="C046"/>
    <n v="762"/>
    <n v="1686"/>
  </r>
  <r>
    <x v="66"/>
    <x v="0"/>
    <s v="Footwear"/>
    <n v="2"/>
    <n v="1587"/>
    <n v="916"/>
    <s v="C042"/>
    <n v="1342"/>
    <n v="3174"/>
  </r>
  <r>
    <x v="90"/>
    <x v="4"/>
    <s v="Accessories"/>
    <n v="5"/>
    <n v="1298"/>
    <n v="711"/>
    <s v="C030"/>
    <n v="2935"/>
    <n v="6490"/>
  </r>
  <r>
    <x v="17"/>
    <x v="3"/>
    <s v="Accessories"/>
    <n v="5"/>
    <n v="868"/>
    <n v="1038"/>
    <s v="C016"/>
    <n v="-850"/>
    <n v="4340"/>
  </r>
  <r>
    <x v="56"/>
    <x v="5"/>
    <s v="Footwear"/>
    <n v="1"/>
    <n v="1771"/>
    <n v="807"/>
    <s v="C016"/>
    <n v="964"/>
    <n v="1771"/>
  </r>
  <r>
    <x v="15"/>
    <x v="5"/>
    <s v="Footwear"/>
    <n v="5"/>
    <n v="1856"/>
    <n v="835"/>
    <s v="C025"/>
    <n v="5105"/>
    <n v="9280"/>
  </r>
  <r>
    <x v="64"/>
    <x v="4"/>
    <s v="Accessories"/>
    <n v="4"/>
    <n v="1183"/>
    <n v="673"/>
    <s v="C032"/>
    <n v="2040"/>
    <n v="4732"/>
  </r>
  <r>
    <x v="40"/>
    <x v="0"/>
    <s v="Footwear"/>
    <n v="3"/>
    <n v="1487"/>
    <n v="885"/>
    <s v="C039"/>
    <n v="1806"/>
    <n v="4461"/>
  </r>
  <r>
    <x v="53"/>
    <x v="6"/>
    <s v="Clothing"/>
    <n v="3"/>
    <n v="342"/>
    <n v="51"/>
    <s v="C034"/>
    <n v="873"/>
    <n v="1026"/>
  </r>
  <r>
    <x v="11"/>
    <x v="0"/>
    <s v="Footwear"/>
    <n v="2"/>
    <n v="1584"/>
    <n v="902"/>
    <s v="C032"/>
    <n v="1364"/>
    <n v="3168"/>
  </r>
  <r>
    <x v="91"/>
    <x v="2"/>
    <s v="Clothing"/>
    <n v="2"/>
    <n v="1276"/>
    <n v="610"/>
    <s v="C042"/>
    <n v="1332"/>
    <n v="2552"/>
  </r>
  <r>
    <x v="37"/>
    <x v="6"/>
    <s v="Clothing"/>
    <n v="4"/>
    <n v="204"/>
    <n v="61"/>
    <s v="C019"/>
    <n v="572"/>
    <n v="816"/>
  </r>
  <r>
    <x v="92"/>
    <x v="0"/>
    <s v="Footwear"/>
    <n v="2"/>
    <n v="1478"/>
    <n v="934"/>
    <s v="C038"/>
    <n v="1088"/>
    <n v="2956"/>
  </r>
  <r>
    <x v="78"/>
    <x v="4"/>
    <s v="Accessories"/>
    <n v="5"/>
    <n v="1235"/>
    <n v="694"/>
    <s v="C028"/>
    <n v="2705"/>
    <n v="6175"/>
  </r>
  <r>
    <x v="35"/>
    <x v="6"/>
    <s v="Clothing"/>
    <n v="3"/>
    <n v="290"/>
    <n v="139"/>
    <s v="C030"/>
    <n v="453"/>
    <n v="870"/>
  </r>
  <r>
    <x v="93"/>
    <x v="4"/>
    <s v="Accessories"/>
    <n v="3"/>
    <n v="1159"/>
    <n v="665"/>
    <s v="C047"/>
    <n v="1482"/>
    <n v="3477"/>
  </r>
  <r>
    <x v="77"/>
    <x v="0"/>
    <s v="Footwear"/>
    <n v="1"/>
    <n v="1590"/>
    <n v="918"/>
    <s v="C049"/>
    <n v="672"/>
    <n v="1590"/>
  </r>
  <r>
    <x v="94"/>
    <x v="6"/>
    <s v="Clothing"/>
    <n v="2"/>
    <n v="255"/>
    <n v="144"/>
    <s v="C031"/>
    <n v="222"/>
    <n v="510"/>
  </r>
  <r>
    <x v="95"/>
    <x v="4"/>
    <s v="Accessories"/>
    <n v="5"/>
    <n v="1294"/>
    <n v="717"/>
    <s v="C039"/>
    <n v="2885"/>
    <n v="6470"/>
  </r>
  <r>
    <x v="96"/>
    <x v="4"/>
    <s v="Accessories"/>
    <n v="2"/>
    <n v="1175"/>
    <n v="679"/>
    <s v="C024"/>
    <n v="992"/>
    <n v="2350"/>
  </r>
  <r>
    <x v="74"/>
    <x v="4"/>
    <s v="Accessories"/>
    <n v="1"/>
    <n v="1241"/>
    <n v="687"/>
    <s v="C045"/>
    <n v="554"/>
    <n v="1241"/>
  </r>
  <r>
    <x v="12"/>
    <x v="0"/>
    <s v="Footwear"/>
    <n v="4"/>
    <n v="1426"/>
    <n v="851"/>
    <s v="C037"/>
    <n v="2300"/>
    <n v="5704"/>
  </r>
  <r>
    <x v="78"/>
    <x v="4"/>
    <s v="Accessories"/>
    <n v="4"/>
    <n v="1212"/>
    <n v="693"/>
    <s v="C012"/>
    <n v="2076"/>
    <n v="4848"/>
  </r>
  <r>
    <x v="67"/>
    <x v="1"/>
    <s v="Clothing"/>
    <n v="4"/>
    <n v="429"/>
    <n v="258"/>
    <s v="C026"/>
    <n v="684"/>
    <n v="1716"/>
  </r>
  <r>
    <x v="97"/>
    <x v="3"/>
    <s v="Accessories"/>
    <n v="5"/>
    <n v="961"/>
    <n v="437"/>
    <s v="C004"/>
    <n v="2620"/>
    <n v="4805"/>
  </r>
  <r>
    <x v="81"/>
    <x v="0"/>
    <s v="Footwear"/>
    <n v="5"/>
    <n v="1477"/>
    <n v="860"/>
    <s v="C016"/>
    <n v="3085"/>
    <n v="7385"/>
  </r>
  <r>
    <x v="60"/>
    <x v="1"/>
    <s v="Clothing"/>
    <n v="4"/>
    <n v="555"/>
    <n v="326"/>
    <s v="C040"/>
    <n v="916"/>
    <n v="2220"/>
  </r>
  <r>
    <x v="98"/>
    <x v="0"/>
    <s v="Footwear"/>
    <n v="5"/>
    <n v="1497"/>
    <n v="907"/>
    <s v="C029"/>
    <n v="2950"/>
    <n v="7485"/>
  </r>
  <r>
    <x v="44"/>
    <x v="4"/>
    <s v="Accessories"/>
    <n v="5"/>
    <n v="1209"/>
    <n v="689"/>
    <s v="C037"/>
    <n v="2600"/>
    <n v="6045"/>
  </r>
  <r>
    <x v="99"/>
    <x v="2"/>
    <s v="Clothing"/>
    <n v="5"/>
    <n v="1289"/>
    <n v="1455"/>
    <s v="C049"/>
    <n v="-830"/>
    <n v="6445"/>
  </r>
  <r>
    <x v="9"/>
    <x v="1"/>
    <s v="Clothing"/>
    <n v="3"/>
    <n v="549"/>
    <n v="671"/>
    <s v="C010"/>
    <n v="-366"/>
    <n v="164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s v="18-01-2026"/>
    <x v="0"/>
    <x v="0"/>
    <n v="1"/>
    <n v="1573"/>
    <n v="944"/>
    <s v="C035"/>
    <n v="629"/>
    <n v="1573"/>
  </r>
  <r>
    <s v="17-03-2026"/>
    <x v="1"/>
    <x v="1"/>
    <n v="4"/>
    <n v="408"/>
    <n v="253"/>
    <s v="C006"/>
    <n v="620"/>
    <n v="1632"/>
  </r>
  <r>
    <s v="30-01-2026"/>
    <x v="0"/>
    <x v="0"/>
    <n v="5"/>
    <n v="1554"/>
    <n v="853"/>
    <s v="C036"/>
    <n v="3505"/>
    <n v="7770"/>
  </r>
  <r>
    <s v="02-04-2026"/>
    <x v="0"/>
    <x v="0"/>
    <n v="5"/>
    <n v="1507"/>
    <n v="878"/>
    <s v="C029"/>
    <n v="3145"/>
    <n v="7535"/>
  </r>
  <r>
    <s v="05-02-2026"/>
    <x v="2"/>
    <x v="1"/>
    <n v="1"/>
    <n v="1294"/>
    <n v="570"/>
    <s v="C045"/>
    <n v="724"/>
    <n v="1294"/>
  </r>
  <r>
    <s v="13-02-2026"/>
    <x v="3"/>
    <x v="2"/>
    <n v="3"/>
    <n v="839"/>
    <n v="377"/>
    <s v="C049"/>
    <n v="1386"/>
    <n v="2517"/>
  </r>
  <r>
    <s v="14-01-2026"/>
    <x v="4"/>
    <x v="2"/>
    <n v="1"/>
    <n v="1197"/>
    <n v="662"/>
    <s v="C023"/>
    <n v="535"/>
    <n v="1197"/>
  </r>
  <r>
    <s v="14-02-2026"/>
    <x v="5"/>
    <x v="0"/>
    <n v="5"/>
    <n v="1767"/>
    <n v="755"/>
    <s v="C047"/>
    <n v="5060"/>
    <n v="8835"/>
  </r>
  <r>
    <s v="10-03-2026"/>
    <x v="3"/>
    <x v="2"/>
    <n v="1"/>
    <n v="896"/>
    <n v="360"/>
    <s v="C036"/>
    <n v="536"/>
    <n v="896"/>
  </r>
  <r>
    <s v="17-04-2026"/>
    <x v="4"/>
    <x v="2"/>
    <n v="5"/>
    <n v="1192"/>
    <n v="723"/>
    <s v="C013"/>
    <n v="2345"/>
    <n v="5960"/>
  </r>
  <r>
    <s v="09-01-2026"/>
    <x v="6"/>
    <x v="1"/>
    <n v="1"/>
    <n v="369"/>
    <n v="79"/>
    <s v="C050"/>
    <n v="290"/>
    <n v="369"/>
  </r>
  <r>
    <s v="11-01-2026"/>
    <x v="4"/>
    <x v="2"/>
    <n v="2"/>
    <n v="1125"/>
    <n v="698"/>
    <s v="C018"/>
    <n v="854"/>
    <n v="2250"/>
  </r>
  <r>
    <s v="23-03-2026"/>
    <x v="3"/>
    <x v="2"/>
    <n v="3"/>
    <n v="841"/>
    <n v="397"/>
    <s v="C023"/>
    <n v="1332"/>
    <n v="2523"/>
  </r>
  <r>
    <s v="27-03-2026"/>
    <x v="0"/>
    <x v="0"/>
    <n v="3"/>
    <n v="1579"/>
    <n v="937"/>
    <s v="C042"/>
    <n v="1926"/>
    <n v="4737"/>
  </r>
  <r>
    <s v="19-03-2026"/>
    <x v="1"/>
    <x v="1"/>
    <n v="2"/>
    <n v="536"/>
    <n v="343"/>
    <s v="C016"/>
    <n v="386"/>
    <n v="1072"/>
  </r>
  <r>
    <s v="01-03-2026"/>
    <x v="0"/>
    <x v="0"/>
    <n v="4"/>
    <n v="1469"/>
    <n v="931"/>
    <s v="C045"/>
    <n v="2152"/>
    <n v="5876"/>
  </r>
  <r>
    <s v="29-01-2026"/>
    <x v="2"/>
    <x v="1"/>
    <n v="3"/>
    <n v="1296"/>
    <n v="649"/>
    <s v="C004"/>
    <n v="1941"/>
    <n v="3888"/>
  </r>
  <r>
    <s v="16-04-2026"/>
    <x v="0"/>
    <x v="0"/>
    <n v="1"/>
    <n v="1480"/>
    <n v="901"/>
    <s v="C018"/>
    <n v="579"/>
    <n v="1480"/>
  </r>
  <r>
    <s v="05-03-2026"/>
    <x v="6"/>
    <x v="1"/>
    <n v="4"/>
    <n v="364"/>
    <n v="108"/>
    <s v="C010"/>
    <n v="1024"/>
    <n v="1456"/>
  </r>
  <r>
    <s v="18-01-2026"/>
    <x v="4"/>
    <x v="2"/>
    <n v="2"/>
    <n v="1290"/>
    <n v="721"/>
    <s v="C035"/>
    <n v="1138"/>
    <n v="2580"/>
  </r>
  <r>
    <s v="06-04-2026"/>
    <x v="4"/>
    <x v="2"/>
    <n v="5"/>
    <n v="1209"/>
    <n v="724"/>
    <s v="C026"/>
    <n v="2425"/>
    <n v="6045"/>
  </r>
  <r>
    <s v="29-01-2026"/>
    <x v="4"/>
    <x v="2"/>
    <n v="2"/>
    <n v="1230"/>
    <n v="713"/>
    <s v="C006"/>
    <n v="1034"/>
    <n v="2460"/>
  </r>
  <r>
    <s v="07-01-2026"/>
    <x v="5"/>
    <x v="0"/>
    <n v="1"/>
    <n v="1739"/>
    <n v="830"/>
    <s v="C011"/>
    <n v="909"/>
    <n v="1739"/>
  </r>
  <r>
    <s v="29-03-2026"/>
    <x v="5"/>
    <x v="0"/>
    <n v="4"/>
    <n v="1852"/>
    <n v="758"/>
    <s v="C025"/>
    <n v="4376"/>
    <n v="7408"/>
  </r>
  <r>
    <s v="18-03-2026"/>
    <x v="3"/>
    <x v="2"/>
    <n v="4"/>
    <n v="935"/>
    <n v="382"/>
    <s v="C036"/>
    <n v="2212"/>
    <n v="3740"/>
  </r>
  <r>
    <s v="01-05-2026"/>
    <x v="5"/>
    <x v="0"/>
    <n v="1"/>
    <n v="1874"/>
    <n v="842"/>
    <s v="C008"/>
    <n v="1032"/>
    <n v="1874"/>
  </r>
  <r>
    <s v="24-04-2026"/>
    <x v="6"/>
    <x v="1"/>
    <n v="5"/>
    <n v="392"/>
    <n v="84"/>
    <s v="C050"/>
    <n v="1540"/>
    <n v="1960"/>
  </r>
  <r>
    <s v="13-02-2026"/>
    <x v="6"/>
    <x v="1"/>
    <n v="1"/>
    <n v="275"/>
    <n v="105"/>
    <s v="C011"/>
    <n v="170"/>
    <n v="275"/>
  </r>
  <r>
    <s v="01-01-2026"/>
    <x v="3"/>
    <x v="2"/>
    <n v="3"/>
    <n v="928"/>
    <n v="447"/>
    <s v="C012"/>
    <n v="1443"/>
    <n v="2784"/>
  </r>
  <r>
    <s v="27-04-2026"/>
    <x v="2"/>
    <x v="1"/>
    <n v="1"/>
    <n v="1260"/>
    <n v="588"/>
    <s v="C041"/>
    <n v="672"/>
    <n v="1260"/>
  </r>
  <r>
    <s v="19-03-2026"/>
    <x v="2"/>
    <x v="1"/>
    <n v="2"/>
    <n v="1139"/>
    <n v="597"/>
    <s v="C049"/>
    <n v="1084"/>
    <n v="2278"/>
  </r>
  <r>
    <s v="11-03-2026"/>
    <x v="0"/>
    <x v="0"/>
    <n v="5"/>
    <n v="1400"/>
    <n v="926"/>
    <s v="C021"/>
    <n v="2370"/>
    <n v="7000"/>
  </r>
  <r>
    <s v="03-01-2026"/>
    <x v="3"/>
    <x v="2"/>
    <n v="1"/>
    <n v="892"/>
    <n v="389"/>
    <s v="C016"/>
    <n v="503"/>
    <n v="892"/>
  </r>
  <r>
    <s v="31-01-2026"/>
    <x v="1"/>
    <x v="1"/>
    <n v="5"/>
    <n v="420"/>
    <n v="260"/>
    <s v="C047"/>
    <n v="800"/>
    <n v="2100"/>
  </r>
  <r>
    <s v="15-04-2026"/>
    <x v="3"/>
    <x v="2"/>
    <n v="1"/>
    <n v="994"/>
    <n v="418"/>
    <s v="C050"/>
    <n v="576"/>
    <n v="994"/>
  </r>
  <r>
    <s v="17-01-2026"/>
    <x v="0"/>
    <x v="0"/>
    <n v="4"/>
    <n v="1540"/>
    <n v="871"/>
    <s v="C017"/>
    <n v="2676"/>
    <n v="6160"/>
  </r>
  <r>
    <s v="22-04-2026"/>
    <x v="2"/>
    <x v="1"/>
    <n v="5"/>
    <n v="1208"/>
    <n v="577"/>
    <s v="C035"/>
    <n v="3155"/>
    <n v="6040"/>
  </r>
  <r>
    <s v="04-04-2026"/>
    <x v="5"/>
    <x v="0"/>
    <n v="2"/>
    <n v="1882"/>
    <n v="789"/>
    <s v="C026"/>
    <n v="2186"/>
    <n v="3764"/>
  </r>
  <r>
    <s v="01-02-2026"/>
    <x v="1"/>
    <x v="1"/>
    <n v="2"/>
    <n v="416"/>
    <n v="293"/>
    <s v="C002"/>
    <n v="246"/>
    <n v="832"/>
  </r>
  <r>
    <s v="12-03-2026"/>
    <x v="2"/>
    <x v="1"/>
    <n v="2"/>
    <n v="1250"/>
    <n v="578"/>
    <s v="C001"/>
    <n v="1344"/>
    <n v="2500"/>
  </r>
  <r>
    <s v="01-04-2026"/>
    <x v="1"/>
    <x v="1"/>
    <n v="1"/>
    <n v="458"/>
    <n v="258"/>
    <s v="C003"/>
    <n v="200"/>
    <n v="458"/>
  </r>
  <r>
    <s v="04-03-2026"/>
    <x v="6"/>
    <x v="1"/>
    <n v="2"/>
    <n v="338"/>
    <n v="66"/>
    <s v="C047"/>
    <n v="544"/>
    <n v="676"/>
  </r>
  <r>
    <s v="15-03-2026"/>
    <x v="2"/>
    <x v="1"/>
    <n v="4"/>
    <n v="1162"/>
    <n v="650"/>
    <s v="C031"/>
    <n v="2048"/>
    <n v="4648"/>
  </r>
  <r>
    <s v="22-02-2026"/>
    <x v="5"/>
    <x v="0"/>
    <n v="2"/>
    <n v="1724"/>
    <n v="762"/>
    <s v="C043"/>
    <n v="1924"/>
    <n v="3448"/>
  </r>
  <r>
    <s v="15-02-2026"/>
    <x v="3"/>
    <x v="2"/>
    <n v="4"/>
    <n v="905"/>
    <n v="409"/>
    <s v="C047"/>
    <n v="1984"/>
    <n v="3620"/>
  </r>
  <r>
    <s v="28-03-2026"/>
    <x v="1"/>
    <x v="1"/>
    <n v="1"/>
    <n v="415"/>
    <n v="301"/>
    <s v="C047"/>
    <n v="114"/>
    <n v="415"/>
  </r>
  <r>
    <s v="13-04-2026"/>
    <x v="4"/>
    <x v="2"/>
    <n v="1"/>
    <n v="1163"/>
    <n v="674"/>
    <s v="C013"/>
    <n v="489"/>
    <n v="1163"/>
  </r>
  <r>
    <s v="27-02-2026"/>
    <x v="2"/>
    <x v="1"/>
    <n v="2"/>
    <n v="1208"/>
    <n v="573"/>
    <s v="C018"/>
    <n v="1270"/>
    <n v="2416"/>
  </r>
  <r>
    <s v="01-02-2026"/>
    <x v="3"/>
    <x v="2"/>
    <n v="1"/>
    <n v="913"/>
    <n v="420"/>
    <s v="C007"/>
    <n v="493"/>
    <n v="913"/>
  </r>
  <r>
    <s v="21-04-2026"/>
    <x v="0"/>
    <x v="0"/>
    <n v="4"/>
    <n v="1415"/>
    <n v="871"/>
    <s v="C025"/>
    <n v="2176"/>
    <n v="5660"/>
  </r>
  <r>
    <s v="19-02-2026"/>
    <x v="1"/>
    <x v="1"/>
    <n v="3"/>
    <n v="600"/>
    <n v="350"/>
    <s v="C030"/>
    <n v="750"/>
    <n v="1800"/>
  </r>
  <r>
    <s v="24-02-2026"/>
    <x v="4"/>
    <x v="2"/>
    <n v="5"/>
    <n v="1269"/>
    <n v="741"/>
    <s v="C032"/>
    <n v="2640"/>
    <n v="6345"/>
  </r>
  <r>
    <s v="25-01-2026"/>
    <x v="0"/>
    <x v="0"/>
    <n v="3"/>
    <n v="1455"/>
    <n v="857"/>
    <s v="C038"/>
    <n v="1794"/>
    <n v="4365"/>
  </r>
  <r>
    <s v="11-03-2026"/>
    <x v="6"/>
    <x v="1"/>
    <n v="1"/>
    <n v="391"/>
    <n v="514"/>
    <s v="C004"/>
    <n v="-123"/>
    <n v="391"/>
  </r>
  <r>
    <s v="16-03-2026"/>
    <x v="1"/>
    <x v="1"/>
    <n v="4"/>
    <n v="528"/>
    <n v="317"/>
    <s v="C011"/>
    <n v="844"/>
    <n v="2112"/>
  </r>
  <r>
    <s v="07-03-2026"/>
    <x v="1"/>
    <x v="1"/>
    <n v="1"/>
    <n v="447"/>
    <n v="258"/>
    <s v="C039"/>
    <n v="189"/>
    <n v="447"/>
  </r>
  <r>
    <s v="28-03-2026"/>
    <x v="1"/>
    <x v="1"/>
    <n v="2"/>
    <n v="503"/>
    <n v="265"/>
    <s v="C037"/>
    <n v="476"/>
    <n v="1006"/>
  </r>
  <r>
    <s v="16-03-2026"/>
    <x v="0"/>
    <x v="0"/>
    <n v="5"/>
    <n v="1410"/>
    <n v="929"/>
    <s v="C006"/>
    <n v="2405"/>
    <n v="7050"/>
  </r>
  <r>
    <s v="26-03-2026"/>
    <x v="3"/>
    <x v="2"/>
    <n v="5"/>
    <n v="944"/>
    <n v="416"/>
    <s v="C021"/>
    <n v="2640"/>
    <n v="4720"/>
  </r>
  <r>
    <s v="27-01-2026"/>
    <x v="4"/>
    <x v="2"/>
    <n v="3"/>
    <n v="1161"/>
    <n v="683"/>
    <s v="C026"/>
    <n v="1434"/>
    <n v="3483"/>
  </r>
  <r>
    <s v="27-03-2026"/>
    <x v="0"/>
    <x v="0"/>
    <n v="3"/>
    <n v="1517"/>
    <n v="890"/>
    <s v="C049"/>
    <n v="1881"/>
    <n v="4551"/>
  </r>
  <r>
    <s v="02-01-2026"/>
    <x v="1"/>
    <x v="1"/>
    <n v="4"/>
    <n v="559"/>
    <n v="322"/>
    <s v="C007"/>
    <n v="948"/>
    <n v="2236"/>
  </r>
  <r>
    <s v="10-03-2026"/>
    <x v="1"/>
    <x v="1"/>
    <n v="2"/>
    <n v="529"/>
    <n v="283"/>
    <s v="C009"/>
    <n v="492"/>
    <n v="1058"/>
  </r>
  <r>
    <s v="23-04-2026"/>
    <x v="4"/>
    <x v="2"/>
    <n v="1"/>
    <n v="1162"/>
    <n v="697"/>
    <s v="C019"/>
    <n v="465"/>
    <n v="1162"/>
  </r>
  <r>
    <s v="26-02-2026"/>
    <x v="0"/>
    <x v="0"/>
    <n v="5"/>
    <n v="1580"/>
    <n v="888"/>
    <s v="C040"/>
    <n v="3460"/>
    <n v="7900"/>
  </r>
  <r>
    <s v="25-03-2026"/>
    <x v="5"/>
    <x v="0"/>
    <n v="5"/>
    <n v="1702"/>
    <n v="835"/>
    <s v="C036"/>
    <n v="4335"/>
    <n v="8510"/>
  </r>
  <r>
    <s v="30-04-2026"/>
    <x v="4"/>
    <x v="2"/>
    <n v="1"/>
    <n v="1134"/>
    <n v="683"/>
    <s v="C008"/>
    <n v="451"/>
    <n v="1134"/>
  </r>
  <r>
    <s v="06-04-2026"/>
    <x v="1"/>
    <x v="1"/>
    <n v="5"/>
    <n v="439"/>
    <n v="284"/>
    <s v="C019"/>
    <n v="775"/>
    <n v="2195"/>
  </r>
  <r>
    <s v="27-01-2026"/>
    <x v="2"/>
    <x v="1"/>
    <n v="3"/>
    <n v="1152"/>
    <n v="1210"/>
    <s v="C041"/>
    <n v="-174"/>
    <n v="3456"/>
  </r>
  <r>
    <s v="03-02-2026"/>
    <x v="5"/>
    <x v="0"/>
    <n v="5"/>
    <n v="1825"/>
    <n v="782"/>
    <s v="C004"/>
    <n v="5215"/>
    <n v="9125"/>
  </r>
  <r>
    <s v="23-03-2026"/>
    <x v="1"/>
    <x v="1"/>
    <n v="4"/>
    <n v="470"/>
    <n v="255"/>
    <s v="C001"/>
    <n v="860"/>
    <n v="1880"/>
  </r>
  <r>
    <s v="09-04-2026"/>
    <x v="4"/>
    <x v="2"/>
    <n v="2"/>
    <n v="1263"/>
    <n v="683"/>
    <s v="C011"/>
    <n v="1160"/>
    <n v="2526"/>
  </r>
  <r>
    <s v="26-02-2026"/>
    <x v="6"/>
    <x v="1"/>
    <n v="5"/>
    <n v="380"/>
    <n v="104"/>
    <s v="C036"/>
    <n v="1380"/>
    <n v="1900"/>
  </r>
  <r>
    <s v="15-01-2026"/>
    <x v="1"/>
    <x v="1"/>
    <n v="1"/>
    <n v="576"/>
    <n v="269"/>
    <s v="C035"/>
    <n v="307"/>
    <n v="576"/>
  </r>
  <r>
    <s v="17-04-2026"/>
    <x v="1"/>
    <x v="1"/>
    <n v="3"/>
    <n v="549"/>
    <n v="320"/>
    <s v="C010"/>
    <n v="687"/>
    <n v="1647"/>
  </r>
  <r>
    <s v="17-01-2026"/>
    <x v="3"/>
    <x v="2"/>
    <n v="1"/>
    <n v="878"/>
    <n v="396"/>
    <s v="C003"/>
    <n v="482"/>
    <n v="878"/>
  </r>
  <r>
    <s v="27-01-2026"/>
    <x v="4"/>
    <x v="2"/>
    <n v="2"/>
    <n v="1270"/>
    <n v="663"/>
    <s v="C023"/>
    <n v="1214"/>
    <n v="2540"/>
  </r>
  <r>
    <s v="13-03-2026"/>
    <x v="5"/>
    <x v="0"/>
    <n v="4"/>
    <n v="1858"/>
    <n v="845"/>
    <s v="C010"/>
    <n v="4052"/>
    <n v="7432"/>
  </r>
  <r>
    <s v="21-04-2026"/>
    <x v="0"/>
    <x v="0"/>
    <n v="2"/>
    <n v="1445"/>
    <n v="902"/>
    <s v="C002"/>
    <n v="1086"/>
    <n v="2890"/>
  </r>
  <r>
    <s v="05-04-2026"/>
    <x v="0"/>
    <x v="0"/>
    <n v="3"/>
    <n v="1600"/>
    <n v="902"/>
    <s v="C043"/>
    <n v="2094"/>
    <n v="4800"/>
  </r>
  <r>
    <s v="05-04-2026"/>
    <x v="5"/>
    <x v="0"/>
    <n v="2"/>
    <n v="1768"/>
    <n v="770"/>
    <s v="C045"/>
    <n v="1996"/>
    <n v="3536"/>
  </r>
  <r>
    <s v="18-02-2026"/>
    <x v="1"/>
    <x v="1"/>
    <n v="1"/>
    <n v="520"/>
    <n v="278"/>
    <s v="C013"/>
    <n v="242"/>
    <n v="520"/>
  </r>
  <r>
    <s v="28-04-2026"/>
    <x v="5"/>
    <x v="0"/>
    <n v="4"/>
    <n v="1789"/>
    <n v="789"/>
    <s v="C015"/>
    <n v="4000"/>
    <n v="7156"/>
  </r>
  <r>
    <s v="04-01-2026"/>
    <x v="0"/>
    <x v="0"/>
    <n v="2"/>
    <n v="1502"/>
    <n v="892"/>
    <s v="C018"/>
    <n v="1220"/>
    <n v="3004"/>
  </r>
  <r>
    <s v="09-01-2026"/>
    <x v="5"/>
    <x v="0"/>
    <n v="3"/>
    <n v="1789"/>
    <n v="832"/>
    <s v="C033"/>
    <n v="2871"/>
    <n v="5367"/>
  </r>
  <r>
    <s v="28-03-2026"/>
    <x v="3"/>
    <x v="2"/>
    <n v="5"/>
    <n v="884"/>
    <n v="353"/>
    <s v="C008"/>
    <n v="2655"/>
    <n v="4420"/>
  </r>
  <r>
    <s v="23-01-2026"/>
    <x v="4"/>
    <x v="2"/>
    <n v="5"/>
    <n v="1167"/>
    <n v="654"/>
    <s v="C007"/>
    <n v="2565"/>
    <n v="5835"/>
  </r>
  <r>
    <s v="25-02-2026"/>
    <x v="2"/>
    <x v="1"/>
    <n v="3"/>
    <n v="1286"/>
    <n v="650"/>
    <s v="C021"/>
    <n v="1908"/>
    <n v="3858"/>
  </r>
  <r>
    <s v="19-03-2026"/>
    <x v="3"/>
    <x v="2"/>
    <n v="5"/>
    <n v="829"/>
    <n v="399"/>
    <s v="C037"/>
    <n v="2150"/>
    <n v="4145"/>
  </r>
  <r>
    <s v="02-02-2026"/>
    <x v="0"/>
    <x v="0"/>
    <n v="1"/>
    <n v="1581"/>
    <n v="905"/>
    <s v="C001"/>
    <n v="676"/>
    <n v="1581"/>
  </r>
  <r>
    <s v="29-04-2026"/>
    <x v="2"/>
    <x v="1"/>
    <n v="5"/>
    <n v="1275"/>
    <n v="642"/>
    <s v="C048"/>
    <n v="3165"/>
    <n v="6375"/>
  </r>
  <r>
    <s v="27-03-2026"/>
    <x v="6"/>
    <x v="1"/>
    <n v="2"/>
    <n v="293"/>
    <n v="105"/>
    <s v="C005"/>
    <n v="376"/>
    <n v="586"/>
  </r>
  <r>
    <s v="28-04-2026"/>
    <x v="6"/>
    <x v="1"/>
    <n v="3"/>
    <n v="359"/>
    <n v="90"/>
    <s v="C043"/>
    <n v="807"/>
    <n v="1077"/>
  </r>
  <r>
    <s v="16-01-2026"/>
    <x v="5"/>
    <x v="0"/>
    <n v="3"/>
    <n v="1829"/>
    <n v="789"/>
    <s v="C043"/>
    <n v="3120"/>
    <n v="5487"/>
  </r>
  <r>
    <s v="11-02-2026"/>
    <x v="3"/>
    <x v="2"/>
    <n v="4"/>
    <n v="978"/>
    <n v="387"/>
    <s v="C036"/>
    <n v="2364"/>
    <n v="3912"/>
  </r>
  <r>
    <s v="25-01-2026"/>
    <x v="0"/>
    <x v="0"/>
    <n v="4"/>
    <n v="1570"/>
    <n v="898"/>
    <s v="C044"/>
    <n v="2688"/>
    <n v="6280"/>
  </r>
  <r>
    <s v="26-04-2026"/>
    <x v="6"/>
    <x v="1"/>
    <n v="2"/>
    <n v="357"/>
    <n v="122"/>
    <s v="C020"/>
    <n v="470"/>
    <n v="714"/>
  </r>
  <r>
    <s v="12-03-2026"/>
    <x v="3"/>
    <x v="2"/>
    <n v="1"/>
    <n v="877"/>
    <n v="386"/>
    <s v="C014"/>
    <n v="491"/>
    <n v="877"/>
  </r>
  <r>
    <s v="11-04-2026"/>
    <x v="3"/>
    <x v="2"/>
    <n v="5"/>
    <n v="955"/>
    <n v="433"/>
    <s v="C021"/>
    <n v="2610"/>
    <n v="4775"/>
  </r>
  <r>
    <s v="26-02-2026"/>
    <x v="3"/>
    <x v="2"/>
    <n v="4"/>
    <n v="972"/>
    <n v="377"/>
    <s v="C033"/>
    <n v="2380"/>
    <n v="3888"/>
  </r>
  <r>
    <s v="12-04-2026"/>
    <x v="3"/>
    <x v="2"/>
    <n v="2"/>
    <n v="968"/>
    <n v="360"/>
    <s v="C019"/>
    <n v="1216"/>
    <n v="1936"/>
  </r>
  <r>
    <s v="26-03-2026"/>
    <x v="2"/>
    <x v="1"/>
    <n v="5"/>
    <n v="1185"/>
    <n v="561"/>
    <s v="C049"/>
    <n v="3120"/>
    <n v="5925"/>
  </r>
  <r>
    <s v="28-03-2026"/>
    <x v="0"/>
    <x v="0"/>
    <n v="3"/>
    <n v="1457"/>
    <n v="875"/>
    <s v="C010"/>
    <n v="1746"/>
    <n v="4371"/>
  </r>
  <r>
    <s v="06-01-2026"/>
    <x v="1"/>
    <x v="1"/>
    <n v="2"/>
    <n v="521"/>
    <n v="328"/>
    <s v="C050"/>
    <n v="386"/>
    <n v="1042"/>
  </r>
  <r>
    <s v="28-02-2026"/>
    <x v="1"/>
    <x v="1"/>
    <n v="4"/>
    <n v="561"/>
    <n v="323"/>
    <s v="C013"/>
    <n v="952"/>
    <n v="2244"/>
  </r>
  <r>
    <s v="31-03-2026"/>
    <x v="6"/>
    <x v="1"/>
    <n v="4"/>
    <n v="326"/>
    <n v="101"/>
    <s v="C016"/>
    <n v="900"/>
    <n v="1304"/>
  </r>
  <r>
    <s v="25-03-2026"/>
    <x v="0"/>
    <x v="0"/>
    <n v="1"/>
    <n v="1592"/>
    <n v="948"/>
    <s v="C007"/>
    <n v="644"/>
    <n v="1592"/>
  </r>
  <r>
    <s v="24-02-2026"/>
    <x v="5"/>
    <x v="0"/>
    <n v="2"/>
    <n v="1745"/>
    <n v="839"/>
    <s v="C034"/>
    <n v="1812"/>
    <n v="3490"/>
  </r>
  <r>
    <s v="07-01-2026"/>
    <x v="3"/>
    <x v="2"/>
    <n v="5"/>
    <n v="863"/>
    <n v="365"/>
    <s v="C030"/>
    <n v="2490"/>
    <n v="4315"/>
  </r>
  <r>
    <s v="10-02-2026"/>
    <x v="2"/>
    <x v="1"/>
    <n v="4"/>
    <n v="1256"/>
    <n v="642"/>
    <s v="C033"/>
    <n v="2456"/>
    <n v="5024"/>
  </r>
  <r>
    <s v="17-04-2026"/>
    <x v="3"/>
    <x v="2"/>
    <n v="5"/>
    <n v="914"/>
    <n v="370"/>
    <s v="C048"/>
    <n v="2720"/>
    <n v="4570"/>
  </r>
  <r>
    <s v="02-03-2026"/>
    <x v="5"/>
    <x v="0"/>
    <n v="4"/>
    <n v="1766"/>
    <n v="846"/>
    <s v="C016"/>
    <n v="3680"/>
    <n v="7064"/>
  </r>
  <r>
    <s v="23-03-2026"/>
    <x v="5"/>
    <x v="0"/>
    <n v="3"/>
    <n v="1896"/>
    <n v="849"/>
    <s v="C034"/>
    <n v="3141"/>
    <n v="5688"/>
  </r>
  <r>
    <s v="22-03-2026"/>
    <x v="3"/>
    <x v="2"/>
    <n v="2"/>
    <n v="870"/>
    <n v="406"/>
    <s v="C005"/>
    <n v="928"/>
    <n v="1740"/>
  </r>
  <r>
    <s v="06-02-2026"/>
    <x v="6"/>
    <x v="1"/>
    <n v="2"/>
    <n v="269"/>
    <n v="92"/>
    <s v="C021"/>
    <n v="354"/>
    <n v="538"/>
  </r>
  <r>
    <s v="11-01-2026"/>
    <x v="2"/>
    <x v="1"/>
    <n v="2"/>
    <n v="1138"/>
    <n v="579"/>
    <s v="C025"/>
    <n v="1118"/>
    <n v="2276"/>
  </r>
  <r>
    <s v="20-01-2026"/>
    <x v="6"/>
    <x v="1"/>
    <n v="2"/>
    <n v="216"/>
    <n v="103"/>
    <s v="C027"/>
    <n v="226"/>
    <n v="432"/>
  </r>
  <r>
    <s v="11-03-2026"/>
    <x v="4"/>
    <x v="2"/>
    <n v="4"/>
    <n v="1206"/>
    <n v="657"/>
    <s v="C014"/>
    <n v="2196"/>
    <n v="4824"/>
  </r>
  <r>
    <s v="23-02-2026"/>
    <x v="5"/>
    <x v="0"/>
    <n v="4"/>
    <n v="1897"/>
    <n v="824"/>
    <s v="C045"/>
    <n v="4292"/>
    <n v="7588"/>
  </r>
  <r>
    <s v="20-04-2026"/>
    <x v="1"/>
    <x v="1"/>
    <n v="5"/>
    <n v="497"/>
    <n v="311"/>
    <s v="C001"/>
    <n v="930"/>
    <n v="2485"/>
  </r>
  <r>
    <s v="08-02-2026"/>
    <x v="4"/>
    <x v="2"/>
    <n v="4"/>
    <n v="1207"/>
    <n v="718"/>
    <s v="C048"/>
    <n v="1956"/>
    <n v="4828"/>
  </r>
  <r>
    <s v="11-03-2026"/>
    <x v="6"/>
    <x v="1"/>
    <n v="5"/>
    <n v="256"/>
    <n v="112"/>
    <s v="C015"/>
    <n v="720"/>
    <n v="1280"/>
  </r>
  <r>
    <s v="25-02-2026"/>
    <x v="4"/>
    <x v="2"/>
    <n v="4"/>
    <n v="1107"/>
    <n v="699"/>
    <s v="C022"/>
    <n v="1632"/>
    <n v="4428"/>
  </r>
  <r>
    <s v="28-03-2026"/>
    <x v="6"/>
    <x v="1"/>
    <n v="4"/>
    <n v="385"/>
    <n v="71"/>
    <s v="C030"/>
    <n v="1256"/>
    <n v="1540"/>
  </r>
  <r>
    <s v="21-03-2026"/>
    <x v="0"/>
    <x v="0"/>
    <n v="5"/>
    <n v="1406"/>
    <n v="900"/>
    <s v="C038"/>
    <n v="2530"/>
    <n v="7030"/>
  </r>
  <r>
    <s v="26-03-2026"/>
    <x v="2"/>
    <x v="1"/>
    <n v="1"/>
    <n v="1121"/>
    <n v="632"/>
    <s v="C028"/>
    <n v="489"/>
    <n v="1121"/>
  </r>
  <r>
    <s v="21-04-2026"/>
    <x v="0"/>
    <x v="0"/>
    <n v="4"/>
    <n v="1446"/>
    <n v="856"/>
    <s v="C017"/>
    <n v="2360"/>
    <n v="5784"/>
  </r>
  <r>
    <s v="11-02-2026"/>
    <x v="3"/>
    <x v="2"/>
    <n v="2"/>
    <n v="916"/>
    <n v="391"/>
    <s v="C022"/>
    <n v="1050"/>
    <n v="1832"/>
  </r>
  <r>
    <s v="23-04-2026"/>
    <x v="5"/>
    <x v="0"/>
    <n v="4"/>
    <n v="1771"/>
    <n v="846"/>
    <s v="C027"/>
    <n v="3700"/>
    <n v="7084"/>
  </r>
  <r>
    <s v="17-04-2026"/>
    <x v="4"/>
    <x v="2"/>
    <n v="1"/>
    <n v="1220"/>
    <n v="652"/>
    <s v="C048"/>
    <n v="568"/>
    <n v="1220"/>
  </r>
  <r>
    <s v="07-01-2026"/>
    <x v="2"/>
    <x v="1"/>
    <n v="3"/>
    <n v="1157"/>
    <n v="633"/>
    <s v="C005"/>
    <n v="1572"/>
    <n v="3471"/>
  </r>
  <r>
    <s v="25-03-2026"/>
    <x v="5"/>
    <x v="0"/>
    <n v="1"/>
    <n v="1893"/>
    <n v="753"/>
    <s v="C016"/>
    <n v="1140"/>
    <n v="1893"/>
  </r>
  <r>
    <s v="18-04-2026"/>
    <x v="0"/>
    <x v="0"/>
    <n v="1"/>
    <n v="1559"/>
    <n v="869"/>
    <s v="C016"/>
    <n v="690"/>
    <n v="1559"/>
  </r>
  <r>
    <s v="02-03-2026"/>
    <x v="0"/>
    <x v="0"/>
    <n v="1"/>
    <n v="1544"/>
    <n v="877"/>
    <s v="C030"/>
    <n v="667"/>
    <n v="1544"/>
  </r>
  <r>
    <s v="02-02-2026"/>
    <x v="6"/>
    <x v="1"/>
    <n v="3"/>
    <n v="242"/>
    <n v="127"/>
    <s v="C039"/>
    <n v="345"/>
    <n v="726"/>
  </r>
  <r>
    <s v="02-04-2026"/>
    <x v="6"/>
    <x v="1"/>
    <n v="1"/>
    <n v="399"/>
    <n v="70"/>
    <s v="C020"/>
    <n v="329"/>
    <n v="399"/>
  </r>
  <r>
    <s v="16-03-2026"/>
    <x v="1"/>
    <x v="1"/>
    <n v="1"/>
    <n v="479"/>
    <n v="323"/>
    <s v="C044"/>
    <n v="156"/>
    <n v="479"/>
  </r>
  <r>
    <s v="20-02-2026"/>
    <x v="3"/>
    <x v="2"/>
    <n v="2"/>
    <n v="819"/>
    <n v="425"/>
    <s v="C045"/>
    <n v="788"/>
    <n v="1638"/>
  </r>
  <r>
    <s v="22-03-2026"/>
    <x v="5"/>
    <x v="0"/>
    <n v="2"/>
    <n v="1726"/>
    <n v="839"/>
    <s v="C050"/>
    <n v="1774"/>
    <n v="3452"/>
  </r>
  <r>
    <s v="19-04-2026"/>
    <x v="4"/>
    <x v="2"/>
    <n v="5"/>
    <n v="1130"/>
    <n v="722"/>
    <s v="C003"/>
    <n v="2040"/>
    <n v="5650"/>
  </r>
  <r>
    <s v="10-03-2026"/>
    <x v="4"/>
    <x v="2"/>
    <n v="4"/>
    <n v="1269"/>
    <n v="697"/>
    <s v="C005"/>
    <n v="2288"/>
    <n v="5076"/>
  </r>
  <r>
    <s v="24-03-2026"/>
    <x v="2"/>
    <x v="1"/>
    <n v="3"/>
    <n v="1103"/>
    <n v="603"/>
    <s v="C032"/>
    <n v="1500"/>
    <n v="3309"/>
  </r>
  <r>
    <s v="25-02-2026"/>
    <x v="1"/>
    <x v="1"/>
    <n v="3"/>
    <n v="562"/>
    <n v="308"/>
    <s v="C046"/>
    <n v="762"/>
    <n v="1686"/>
  </r>
  <r>
    <s v="25-02-2026"/>
    <x v="0"/>
    <x v="0"/>
    <n v="2"/>
    <n v="1587"/>
    <n v="916"/>
    <s v="C042"/>
    <n v="1342"/>
    <n v="3174"/>
  </r>
  <r>
    <s v="20-03-2026"/>
    <x v="4"/>
    <x v="2"/>
    <n v="5"/>
    <n v="1298"/>
    <n v="711"/>
    <s v="C030"/>
    <n v="2935"/>
    <n v="6490"/>
  </r>
  <r>
    <s v="16-04-2026"/>
    <x v="3"/>
    <x v="2"/>
    <n v="5"/>
    <n v="868"/>
    <n v="1038"/>
    <s v="C016"/>
    <n v="-850"/>
    <n v="4340"/>
  </r>
  <r>
    <s v="30-04-2026"/>
    <x v="5"/>
    <x v="0"/>
    <n v="1"/>
    <n v="1771"/>
    <n v="807"/>
    <s v="C016"/>
    <n v="964"/>
    <n v="1771"/>
  </r>
  <r>
    <s v="01-03-2026"/>
    <x v="5"/>
    <x v="0"/>
    <n v="5"/>
    <n v="1856"/>
    <n v="835"/>
    <s v="C025"/>
    <n v="5105"/>
    <n v="9280"/>
  </r>
  <r>
    <s v="04-01-2026"/>
    <x v="4"/>
    <x v="2"/>
    <n v="4"/>
    <n v="1183"/>
    <n v="673"/>
    <s v="C032"/>
    <n v="2040"/>
    <n v="4732"/>
  </r>
  <r>
    <s v="15-02-2026"/>
    <x v="0"/>
    <x v="0"/>
    <n v="3"/>
    <n v="1487"/>
    <n v="885"/>
    <s v="C039"/>
    <n v="1806"/>
    <n v="4461"/>
  </r>
  <r>
    <s v="23-04-2026"/>
    <x v="6"/>
    <x v="1"/>
    <n v="3"/>
    <n v="342"/>
    <n v="51"/>
    <s v="C034"/>
    <n v="873"/>
    <n v="1026"/>
  </r>
  <r>
    <s v="11-01-2026"/>
    <x v="0"/>
    <x v="0"/>
    <n v="2"/>
    <n v="1584"/>
    <n v="902"/>
    <s v="C032"/>
    <n v="1364"/>
    <n v="3168"/>
  </r>
  <r>
    <s v="08-04-2026"/>
    <x v="2"/>
    <x v="1"/>
    <n v="2"/>
    <n v="1276"/>
    <n v="610"/>
    <s v="C042"/>
    <n v="1332"/>
    <n v="2552"/>
  </r>
  <r>
    <s v="04-03-2026"/>
    <x v="6"/>
    <x v="1"/>
    <n v="4"/>
    <n v="204"/>
    <n v="61"/>
    <s v="C019"/>
    <n v="572"/>
    <n v="816"/>
  </r>
  <r>
    <s v="21-02-2026"/>
    <x v="0"/>
    <x v="0"/>
    <n v="2"/>
    <n v="1478"/>
    <n v="934"/>
    <s v="C038"/>
    <n v="1088"/>
    <n v="2956"/>
  </r>
  <r>
    <s v="02-03-2026"/>
    <x v="4"/>
    <x v="2"/>
    <n v="5"/>
    <n v="1235"/>
    <n v="694"/>
    <s v="C028"/>
    <n v="2705"/>
    <n v="6175"/>
  </r>
  <r>
    <s v="12-03-2026"/>
    <x v="6"/>
    <x v="1"/>
    <n v="3"/>
    <n v="290"/>
    <n v="139"/>
    <s v="C030"/>
    <n v="453"/>
    <n v="870"/>
  </r>
  <r>
    <s v="09-02-2026"/>
    <x v="4"/>
    <x v="2"/>
    <n v="3"/>
    <n v="1159"/>
    <n v="665"/>
    <s v="C047"/>
    <n v="1482"/>
    <n v="3477"/>
  </r>
  <r>
    <s v="10-02-2026"/>
    <x v="0"/>
    <x v="0"/>
    <n v="1"/>
    <n v="1590"/>
    <n v="918"/>
    <s v="C049"/>
    <n v="672"/>
    <n v="1590"/>
  </r>
  <r>
    <s v="24-01-2026"/>
    <x v="6"/>
    <x v="1"/>
    <n v="2"/>
    <n v="255"/>
    <n v="144"/>
    <s v="C031"/>
    <n v="222"/>
    <n v="510"/>
  </r>
  <r>
    <s v="03-04-2026"/>
    <x v="4"/>
    <x v="2"/>
    <n v="5"/>
    <n v="1294"/>
    <n v="717"/>
    <s v="C039"/>
    <n v="2885"/>
    <n v="6470"/>
  </r>
  <r>
    <s v="13-01-2026"/>
    <x v="4"/>
    <x v="2"/>
    <n v="2"/>
    <n v="1175"/>
    <n v="679"/>
    <s v="C024"/>
    <n v="992"/>
    <n v="2350"/>
  </r>
  <r>
    <s v="06-01-2026"/>
    <x v="4"/>
    <x v="2"/>
    <n v="1"/>
    <n v="1241"/>
    <n v="687"/>
    <s v="C045"/>
    <n v="554"/>
    <n v="1241"/>
  </r>
  <r>
    <s v="23-03-2026"/>
    <x v="0"/>
    <x v="0"/>
    <n v="4"/>
    <n v="1426"/>
    <n v="851"/>
    <s v="C037"/>
    <n v="2300"/>
    <n v="5704"/>
  </r>
  <r>
    <s v="02-03-2026"/>
    <x v="4"/>
    <x v="2"/>
    <n v="4"/>
    <n v="1212"/>
    <n v="693"/>
    <s v="C012"/>
    <n v="2076"/>
    <n v="4848"/>
  </r>
  <r>
    <s v="02-02-2026"/>
    <x v="1"/>
    <x v="1"/>
    <n v="4"/>
    <n v="429"/>
    <n v="258"/>
    <s v="C026"/>
    <n v="684"/>
    <n v="1716"/>
  </r>
  <r>
    <s v="10-01-2026"/>
    <x v="3"/>
    <x v="2"/>
    <n v="5"/>
    <n v="961"/>
    <n v="437"/>
    <s v="C004"/>
    <n v="2620"/>
    <n v="4805"/>
  </r>
  <r>
    <s v="20-01-2026"/>
    <x v="0"/>
    <x v="0"/>
    <n v="5"/>
    <n v="1477"/>
    <n v="860"/>
    <s v="C016"/>
    <n v="3085"/>
    <n v="7385"/>
  </r>
  <r>
    <s v="13-03-2026"/>
    <x v="1"/>
    <x v="1"/>
    <n v="4"/>
    <n v="555"/>
    <n v="326"/>
    <s v="C040"/>
    <n v="916"/>
    <n v="2220"/>
  </r>
  <r>
    <s v="10-04-2026"/>
    <x v="0"/>
    <x v="0"/>
    <n v="5"/>
    <n v="1497"/>
    <n v="907"/>
    <s v="C029"/>
    <n v="2950"/>
    <n v="7485"/>
  </r>
  <r>
    <s v="21-04-2026"/>
    <x v="4"/>
    <x v="2"/>
    <n v="5"/>
    <n v="1209"/>
    <n v="689"/>
    <s v="C037"/>
    <n v="2600"/>
    <n v="6045"/>
  </r>
  <r>
    <s v="08-01-2026"/>
    <x v="2"/>
    <x v="1"/>
    <n v="5"/>
    <n v="1289"/>
    <n v="1455"/>
    <s v="C049"/>
    <n v="-830"/>
    <n v="6445"/>
  </r>
  <r>
    <s v="17-04-2026"/>
    <x v="1"/>
    <x v="1"/>
    <n v="3"/>
    <n v="549"/>
    <n v="671"/>
    <s v="C010"/>
    <n v="-366"/>
    <n v="16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389F31-9D2B-4B3A-8980-7B61DF7E7E6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showAll="0"/>
    <pivotField showAll="0"/>
    <pivotField showAll="0"/>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Profit" fld="7" baseField="1" baseItem="0" numFmtId="164"/>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 count="1" selected="0">
            <x v="0"/>
          </reference>
        </references>
      </pivotArea>
    </chartFormat>
    <chartFormat chart="8" format="18">
      <pivotArea type="data" outline="0" fieldPosition="0">
        <references count="2">
          <reference field="4294967294" count="1" selected="0">
            <x v="0"/>
          </reference>
          <reference field="1" count="1" selected="0">
            <x v="1"/>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 chart="8" format="20">
      <pivotArea type="data" outline="0" fieldPosition="0">
        <references count="2">
          <reference field="4294967294" count="1" selected="0">
            <x v="0"/>
          </reference>
          <reference field="1" count="1" selected="0">
            <x v="3"/>
          </reference>
        </references>
      </pivotArea>
    </chartFormat>
    <chartFormat chart="8" format="21">
      <pivotArea type="data" outline="0" fieldPosition="0">
        <references count="2">
          <reference field="4294967294" count="1" selected="0">
            <x v="0"/>
          </reference>
          <reference field="1" count="1" selected="0">
            <x v="4"/>
          </reference>
        </references>
      </pivotArea>
    </chartFormat>
    <chartFormat chart="8" format="22">
      <pivotArea type="data" outline="0" fieldPosition="0">
        <references count="2">
          <reference field="4294967294" count="1" selected="0">
            <x v="0"/>
          </reference>
          <reference field="1" count="1" selected="0">
            <x v="5"/>
          </reference>
        </references>
      </pivotArea>
    </chartFormat>
    <chartFormat chart="8" format="23">
      <pivotArea type="data" outline="0" fieldPosition="0">
        <references count="2">
          <reference field="4294967294" count="1" selected="0">
            <x v="0"/>
          </reference>
          <reference field="1" count="1" selected="0">
            <x v="6"/>
          </reference>
        </references>
      </pivotArea>
    </chartFormat>
    <chartFormat chart="15" format="24" series="1">
      <pivotArea type="data" outline="0" fieldPosition="0">
        <references count="1">
          <reference field="4294967294" count="1" selected="0">
            <x v="0"/>
          </reference>
        </references>
      </pivotArea>
    </chartFormat>
    <chartFormat chart="15" format="25">
      <pivotArea type="data" outline="0" fieldPosition="0">
        <references count="2">
          <reference field="4294967294" count="1" selected="0">
            <x v="0"/>
          </reference>
          <reference field="1" count="1" selected="0">
            <x v="0"/>
          </reference>
        </references>
      </pivotArea>
    </chartFormat>
    <chartFormat chart="15" format="26">
      <pivotArea type="data" outline="0" fieldPosition="0">
        <references count="2">
          <reference field="4294967294" count="1" selected="0">
            <x v="0"/>
          </reference>
          <reference field="1" count="1" selected="0">
            <x v="1"/>
          </reference>
        </references>
      </pivotArea>
    </chartFormat>
    <chartFormat chart="15" format="27">
      <pivotArea type="data" outline="0" fieldPosition="0">
        <references count="2">
          <reference field="4294967294" count="1" selected="0">
            <x v="0"/>
          </reference>
          <reference field="1" count="1" selected="0">
            <x v="2"/>
          </reference>
        </references>
      </pivotArea>
    </chartFormat>
    <chartFormat chart="15" format="28">
      <pivotArea type="data" outline="0" fieldPosition="0">
        <references count="2">
          <reference field="4294967294" count="1" selected="0">
            <x v="0"/>
          </reference>
          <reference field="1" count="1" selected="0">
            <x v="3"/>
          </reference>
        </references>
      </pivotArea>
    </chartFormat>
    <chartFormat chart="15" format="29">
      <pivotArea type="data" outline="0" fieldPosition="0">
        <references count="2">
          <reference field="4294967294" count="1" selected="0">
            <x v="0"/>
          </reference>
          <reference field="1" count="1" selected="0">
            <x v="4"/>
          </reference>
        </references>
      </pivotArea>
    </chartFormat>
    <chartFormat chart="15" format="30">
      <pivotArea type="data" outline="0" fieldPosition="0">
        <references count="2">
          <reference field="4294967294" count="1" selected="0">
            <x v="0"/>
          </reference>
          <reference field="1" count="1" selected="0">
            <x v="5"/>
          </reference>
        </references>
      </pivotArea>
    </chartFormat>
    <chartFormat chart="15" format="31">
      <pivotArea type="data" outline="0" fieldPosition="0">
        <references count="2">
          <reference field="4294967294" count="1" selected="0">
            <x v="0"/>
          </reference>
          <reference field="1" count="1" selected="0">
            <x v="6"/>
          </reference>
        </references>
      </pivotArea>
    </chartFormat>
    <chartFormat chart="16" format="32" series="1">
      <pivotArea type="data" outline="0" fieldPosition="0">
        <references count="1">
          <reference field="4294967294" count="1" selected="0">
            <x v="0"/>
          </reference>
        </references>
      </pivotArea>
    </chartFormat>
    <chartFormat chart="16" format="33">
      <pivotArea type="data" outline="0" fieldPosition="0">
        <references count="2">
          <reference field="4294967294" count="1" selected="0">
            <x v="0"/>
          </reference>
          <reference field="1" count="1" selected="0">
            <x v="0"/>
          </reference>
        </references>
      </pivotArea>
    </chartFormat>
    <chartFormat chart="16" format="34">
      <pivotArea type="data" outline="0" fieldPosition="0">
        <references count="2">
          <reference field="4294967294" count="1" selected="0">
            <x v="0"/>
          </reference>
          <reference field="1" count="1" selected="0">
            <x v="1"/>
          </reference>
        </references>
      </pivotArea>
    </chartFormat>
    <chartFormat chart="16" format="35">
      <pivotArea type="data" outline="0" fieldPosition="0">
        <references count="2">
          <reference field="4294967294" count="1" selected="0">
            <x v="0"/>
          </reference>
          <reference field="1" count="1" selected="0">
            <x v="2"/>
          </reference>
        </references>
      </pivotArea>
    </chartFormat>
    <chartFormat chart="16" format="36">
      <pivotArea type="data" outline="0" fieldPosition="0">
        <references count="2">
          <reference field="4294967294" count="1" selected="0">
            <x v="0"/>
          </reference>
          <reference field="1" count="1" selected="0">
            <x v="3"/>
          </reference>
        </references>
      </pivotArea>
    </chartFormat>
    <chartFormat chart="16" format="37">
      <pivotArea type="data" outline="0" fieldPosition="0">
        <references count="2">
          <reference field="4294967294" count="1" selected="0">
            <x v="0"/>
          </reference>
          <reference field="1" count="1" selected="0">
            <x v="4"/>
          </reference>
        </references>
      </pivotArea>
    </chartFormat>
    <chartFormat chart="16" format="38">
      <pivotArea type="data" outline="0" fieldPosition="0">
        <references count="2">
          <reference field="4294967294" count="1" selected="0">
            <x v="0"/>
          </reference>
          <reference field="1" count="1" selected="0">
            <x v="5"/>
          </reference>
        </references>
      </pivotArea>
    </chartFormat>
    <chartFormat chart="16" format="39">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CF04A4-8909-46C4-831A-BAE84249AD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showAll="0"/>
    <pivotField showAll="0"/>
    <pivotField showAll="0"/>
    <pivotField showAll="0"/>
    <pivotField showAll="0"/>
    <pivotField dataField="1" showAll="0"/>
  </pivotFields>
  <rowFields count="1">
    <field x="1"/>
  </rowFields>
  <rowItems count="8">
    <i>
      <x/>
    </i>
    <i>
      <x v="1"/>
    </i>
    <i>
      <x v="2"/>
    </i>
    <i>
      <x v="3"/>
    </i>
    <i>
      <x v="4"/>
    </i>
    <i>
      <x v="5"/>
    </i>
    <i>
      <x v="6"/>
    </i>
    <i t="grand">
      <x/>
    </i>
  </rowItems>
  <colItems count="1">
    <i/>
  </colItems>
  <dataFields count="1">
    <dataField name="Sum of Revenue" fld="8" baseField="1" baseItem="0" numFmtId="164"/>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5522143-799C-4610-8BAA-96965679D86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1" firstHeaderRow="1" firstDataRow="1" firstDataCol="1"/>
  <pivotFields count="9">
    <pivotField showAll="0"/>
    <pivotField axis="axisRow" showAll="0">
      <items count="8">
        <item x="3"/>
        <item x="6"/>
        <item x="2"/>
        <item x="0"/>
        <item x="5"/>
        <item x="1"/>
        <item x="4"/>
        <item t="default"/>
      </items>
    </pivotField>
    <pivotField showAll="0">
      <items count="4">
        <item x="2"/>
        <item x="1"/>
        <item x="0"/>
        <item t="default"/>
      </items>
    </pivotField>
    <pivotField dataField="1"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Quantity"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11A4DC-DE6A-4ADB-9A20-38772FE657F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7" firstHeaderRow="1" firstDataRow="1" firstDataCol="1"/>
  <pivotFields count="9">
    <pivotField showAll="0"/>
    <pivotField showAll="0">
      <items count="8">
        <item x="3"/>
        <item x="6"/>
        <item x="2"/>
        <item x="0"/>
        <item x="5"/>
        <item x="1"/>
        <item x="4"/>
        <item t="default"/>
      </items>
    </pivotField>
    <pivotField axis="axisRow" showAll="0">
      <items count="4">
        <item x="2"/>
        <item x="1"/>
        <item x="0"/>
        <item t="default"/>
      </items>
    </pivotField>
    <pivotField showAll="0"/>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Profit" fld="7" baseField="1" baseItem="0" numFmtId="164"/>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8253D-27A3-489E-B649-C5F6C1CC77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3:B104" firstHeaderRow="1" firstDataRow="1" firstDataCol="1"/>
  <pivotFields count="10">
    <pivotField axis="axisRow" showAll="0">
      <items count="101">
        <item x="25"/>
        <item x="34"/>
        <item x="15"/>
        <item x="36"/>
        <item x="23"/>
        <item x="52"/>
        <item x="67"/>
        <item x="78"/>
        <item x="3"/>
        <item x="28"/>
        <item x="57"/>
        <item x="95"/>
        <item x="64"/>
        <item x="37"/>
        <item x="33"/>
        <item x="4"/>
        <item x="18"/>
        <item x="61"/>
        <item x="74"/>
        <item x="80"/>
        <item x="19"/>
        <item x="20"/>
        <item x="49"/>
        <item x="99"/>
        <item x="84"/>
        <item x="91"/>
        <item x="10"/>
        <item x="93"/>
        <item x="58"/>
        <item x="97"/>
        <item x="77"/>
        <item x="8"/>
        <item x="98"/>
        <item x="11"/>
        <item x="70"/>
        <item x="27"/>
        <item x="72"/>
        <item x="35"/>
        <item x="73"/>
        <item x="96"/>
        <item x="5"/>
        <item x="60"/>
        <item x="42"/>
        <item x="6"/>
        <item x="7"/>
        <item x="59"/>
        <item x="40"/>
        <item x="38"/>
        <item x="30"/>
        <item x="69"/>
        <item x="48"/>
        <item x="17"/>
        <item x="31"/>
        <item x="1"/>
        <item x="9"/>
        <item x="0"/>
        <item x="62"/>
        <item x="22"/>
        <item x="86"/>
        <item x="45"/>
        <item x="14"/>
        <item x="88"/>
        <item x="81"/>
        <item x="87"/>
        <item x="90"/>
        <item x="83"/>
        <item x="92"/>
        <item x="85"/>
        <item x="44"/>
        <item x="39"/>
        <item x="79"/>
        <item x="32"/>
        <item x="65"/>
        <item x="82"/>
        <item x="12"/>
        <item x="53"/>
        <item x="94"/>
        <item x="46"/>
        <item x="89"/>
        <item x="24"/>
        <item x="47"/>
        <item x="66"/>
        <item x="55"/>
        <item x="54"/>
        <item x="50"/>
        <item x="71"/>
        <item x="51"/>
        <item x="43"/>
        <item x="13"/>
        <item x="26"/>
        <item x="75"/>
        <item x="41"/>
        <item x="63"/>
        <item x="16"/>
        <item x="21"/>
        <item x="68"/>
        <item x="2"/>
        <item x="56"/>
        <item x="29"/>
        <item x="76"/>
        <item t="default"/>
      </items>
    </pivotField>
    <pivotField showAll="0"/>
    <pivotField showAll="0"/>
    <pivotField showAll="0"/>
    <pivotField showAll="0"/>
    <pivotField showAll="0"/>
    <pivotField showAll="0"/>
    <pivotField showAll="0"/>
    <pivotField dataField="1" showAll="0"/>
    <pivotField showAll="0">
      <items count="2">
        <item x="0"/>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Sum of Revenue" fld="8" baseField="0" baseItem="0"/>
  </dataFields>
  <chartFormats count="5">
    <chartFormat chart="26"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5F4D5E-D46F-4EDB-9D10-364BF0EB35DC}" sourceName="Category">
  <pivotTables>
    <pivotTable tabId="7" name="PivotTable3"/>
    <pivotTable tabId="7" name="PivotTable1"/>
    <pivotTable tabId="7" name="PivotTable2"/>
    <pivotTable tabId="7" name="PivotTable4"/>
  </pivotTables>
  <data>
    <tabular pivotCacheId="1654602520">
      <items count="3">
        <i x="2" s="1"/>
        <i x="1"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CE84549-9827-4FD2-AF59-5018D13C6DC3}" sourceName="Product">
  <pivotTables>
    <pivotTable tabId="7" name="PivotTable3"/>
    <pivotTable tabId="7" name="PivotTable1"/>
    <pivotTable tabId="7" name="PivotTable2"/>
    <pivotTable tabId="7" name="PivotTable4"/>
  </pivotTables>
  <data>
    <tabular pivotCacheId="1654602520">
      <items count="7">
        <i x="3" s="1"/>
        <i x="6" s="1"/>
        <i x="2" s="1"/>
        <i x="0" s="1"/>
        <i x="5"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98BC90C-7B28-4363-8BA4-49DFC46AB574}" cache="Slicer_Category" caption="Category" showCaption="0" style="SlicerStyleDark1" rowHeight="234950"/>
  <slicer name="Product 1" xr10:uid="{3F24E1E0-0527-444C-9E9C-4263EE8A4D70}" cache="Slicer_Product" caption="Product"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25824D0-9F83-44FC-896D-B69E7FE62D06}" cache="Slicer_Category" caption="Category" rowHeight="234950"/>
  <slicer name="Product" xr10:uid="{6EFE73DF-1898-4C61-9401-998BE8C1D9FF}"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A3F7D0-A17A-44EA-B6B8-1F9C04D269CC}" name="Table1" displayName="Table1" ref="A1:I174" totalsRowShown="0" headerRowDxfId="2" headerRowBorderDxfId="1" tableBorderDxfId="0">
  <tableColumns count="9">
    <tableColumn id="1" xr3:uid="{6AE954E7-6140-4A6A-9F38-4C0A92B6D311}" name="Date"/>
    <tableColumn id="2" xr3:uid="{4C357B25-0F8B-4F8F-8EF8-558CAE746B0F}" name="Product"/>
    <tableColumn id="3" xr3:uid="{BD7C0BD2-B4F2-42DA-8512-FC458976AC15}" name="Category"/>
    <tableColumn id="4" xr3:uid="{0AD726F6-57FF-4674-A2AD-C24B09B737E1}" name="Quantity"/>
    <tableColumn id="5" xr3:uid="{57629C55-1498-44E0-BD34-53320C65F5B9}" name="Selling Price"/>
    <tableColumn id="6" xr3:uid="{3613632A-9193-4A99-84B2-7877D906A203}" name="Cost Price"/>
    <tableColumn id="7" xr3:uid="{18669A8F-BEFB-4B08-9DA4-AB5063C7C22C}" name="Customer"/>
    <tableColumn id="8" xr3:uid="{1A5D2BC8-172B-421B-94E5-4F6A894CCEBD}" name="Profit"/>
    <tableColumn id="9" xr3:uid="{56539556-8808-4C9A-8D59-F7A8E92C7651}" name="Revenue"/>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052B7-E42C-4C14-8657-766A677903D3}">
  <sheetPr>
    <tabColor theme="3" tint="-0.249977111117893"/>
    <pageSetUpPr fitToPage="1"/>
  </sheetPr>
  <dimension ref="C19:W28"/>
  <sheetViews>
    <sheetView showGridLines="0" zoomScale="64" zoomScaleNormal="119" workbookViewId="0">
      <selection activeCell="AA29" sqref="AA29"/>
    </sheetView>
  </sheetViews>
  <sheetFormatPr defaultRowHeight="14.4" x14ac:dyDescent="0.3"/>
  <sheetData>
    <row r="19" spans="3:23" x14ac:dyDescent="0.3">
      <c r="C19" t="s">
        <v>177</v>
      </c>
    </row>
    <row r="28" spans="3:23" x14ac:dyDescent="0.3">
      <c r="W28" t="s">
        <v>177</v>
      </c>
    </row>
  </sheetData>
  <pageMargins left="0.7" right="0.7" top="0.75" bottom="0.75" header="0.3" footer="0.3"/>
  <pageSetup paperSize="9" scale="64"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K174"/>
  <sheetViews>
    <sheetView tabSelected="1" zoomScale="123" workbookViewId="0">
      <selection activeCell="E16" sqref="E16"/>
    </sheetView>
  </sheetViews>
  <sheetFormatPr defaultRowHeight="14.4" x14ac:dyDescent="0.3"/>
  <cols>
    <col min="1" max="1" width="10.33203125" bestFit="1" customWidth="1"/>
    <col min="3" max="3" width="9.5546875" customWidth="1"/>
    <col min="4" max="4" width="9.44140625" customWidth="1"/>
    <col min="5" max="5" width="12.21875" customWidth="1"/>
    <col min="6" max="6" width="10.44140625" customWidth="1"/>
    <col min="7" max="7" width="10.33203125" customWidth="1"/>
    <col min="9" max="9" width="9.44140625" customWidth="1"/>
    <col min="11" max="11" width="12.109375" bestFit="1" customWidth="1"/>
  </cols>
  <sheetData>
    <row r="1" spans="1:11" x14ac:dyDescent="0.3">
      <c r="A1" s="3" t="s">
        <v>0</v>
      </c>
      <c r="B1" s="3" t="s">
        <v>1</v>
      </c>
      <c r="C1" s="3" t="s">
        <v>2</v>
      </c>
      <c r="D1" s="3" t="s">
        <v>3</v>
      </c>
      <c r="E1" s="3" t="s">
        <v>4</v>
      </c>
      <c r="F1" s="3" t="s">
        <v>5</v>
      </c>
      <c r="G1" s="3" t="s">
        <v>6</v>
      </c>
      <c r="H1" s="3" t="s">
        <v>7</v>
      </c>
      <c r="I1" s="3" t="s">
        <v>8</v>
      </c>
    </row>
    <row r="2" spans="1:11" x14ac:dyDescent="0.3">
      <c r="A2" t="s">
        <v>9</v>
      </c>
      <c r="B2" t="s">
        <v>10</v>
      </c>
      <c r="C2" t="s">
        <v>11</v>
      </c>
      <c r="D2">
        <v>1</v>
      </c>
      <c r="E2">
        <v>1573</v>
      </c>
      <c r="F2">
        <v>944</v>
      </c>
      <c r="G2" t="s">
        <v>12</v>
      </c>
      <c r="H2">
        <v>629</v>
      </c>
      <c r="I2">
        <v>1573</v>
      </c>
    </row>
    <row r="3" spans="1:11" x14ac:dyDescent="0.3">
      <c r="A3" t="s">
        <v>13</v>
      </c>
      <c r="B3" t="s">
        <v>14</v>
      </c>
      <c r="C3" t="s">
        <v>15</v>
      </c>
      <c r="D3">
        <v>4</v>
      </c>
      <c r="E3">
        <v>408</v>
      </c>
      <c r="F3">
        <v>253</v>
      </c>
      <c r="G3" t="s">
        <v>16</v>
      </c>
      <c r="H3">
        <v>620</v>
      </c>
      <c r="I3">
        <v>1632</v>
      </c>
    </row>
    <row r="4" spans="1:11" x14ac:dyDescent="0.3">
      <c r="A4" t="s">
        <v>17</v>
      </c>
      <c r="B4" t="s">
        <v>10</v>
      </c>
      <c r="C4" t="s">
        <v>11</v>
      </c>
      <c r="D4">
        <v>5</v>
      </c>
      <c r="E4">
        <v>1554</v>
      </c>
      <c r="F4">
        <v>853</v>
      </c>
      <c r="G4" t="s">
        <v>18</v>
      </c>
      <c r="H4">
        <v>3505</v>
      </c>
      <c r="I4">
        <v>7770</v>
      </c>
      <c r="K4" s="6" t="s">
        <v>170</v>
      </c>
    </row>
    <row r="5" spans="1:11" x14ac:dyDescent="0.3">
      <c r="A5" t="s">
        <v>19</v>
      </c>
      <c r="B5" t="s">
        <v>10</v>
      </c>
      <c r="C5" t="s">
        <v>11</v>
      </c>
      <c r="D5">
        <v>5</v>
      </c>
      <c r="E5">
        <v>1507</v>
      </c>
      <c r="F5">
        <v>878</v>
      </c>
      <c r="G5" t="s">
        <v>20</v>
      </c>
      <c r="H5">
        <v>3145</v>
      </c>
      <c r="I5">
        <v>7535</v>
      </c>
      <c r="K5" s="4">
        <f>SUM(I2:I174)</f>
        <v>575696</v>
      </c>
    </row>
    <row r="6" spans="1:11" x14ac:dyDescent="0.3">
      <c r="A6" t="s">
        <v>21</v>
      </c>
      <c r="B6" t="s">
        <v>22</v>
      </c>
      <c r="C6" t="s">
        <v>15</v>
      </c>
      <c r="D6">
        <v>1</v>
      </c>
      <c r="E6">
        <v>1294</v>
      </c>
      <c r="F6">
        <v>570</v>
      </c>
      <c r="G6" t="s">
        <v>23</v>
      </c>
      <c r="H6">
        <v>724</v>
      </c>
      <c r="I6">
        <v>1294</v>
      </c>
      <c r="K6" s="6" t="s">
        <v>173</v>
      </c>
    </row>
    <row r="7" spans="1:11" x14ac:dyDescent="0.3">
      <c r="A7" t="s">
        <v>24</v>
      </c>
      <c r="B7" t="s">
        <v>25</v>
      </c>
      <c r="C7" t="s">
        <v>26</v>
      </c>
      <c r="D7">
        <v>3</v>
      </c>
      <c r="E7">
        <v>839</v>
      </c>
      <c r="F7">
        <v>377</v>
      </c>
      <c r="G7" t="s">
        <v>27</v>
      </c>
      <c r="H7">
        <v>1386</v>
      </c>
      <c r="I7">
        <v>2517</v>
      </c>
      <c r="K7" s="4">
        <f>SUM(D2:D174)</f>
        <v>524</v>
      </c>
    </row>
    <row r="8" spans="1:11" x14ac:dyDescent="0.3">
      <c r="A8" t="s">
        <v>28</v>
      </c>
      <c r="B8" t="s">
        <v>29</v>
      </c>
      <c r="C8" t="s">
        <v>26</v>
      </c>
      <c r="D8">
        <v>1</v>
      </c>
      <c r="E8">
        <v>1197</v>
      </c>
      <c r="F8">
        <v>662</v>
      </c>
      <c r="G8" t="s">
        <v>30</v>
      </c>
      <c r="H8">
        <v>535</v>
      </c>
      <c r="I8">
        <v>1197</v>
      </c>
      <c r="K8" s="6" t="s">
        <v>174</v>
      </c>
    </row>
    <row r="9" spans="1:11" x14ac:dyDescent="0.3">
      <c r="A9" t="s">
        <v>31</v>
      </c>
      <c r="B9" t="s">
        <v>32</v>
      </c>
      <c r="C9" t="s">
        <v>11</v>
      </c>
      <c r="D9">
        <v>5</v>
      </c>
      <c r="E9">
        <v>1767</v>
      </c>
      <c r="F9">
        <v>755</v>
      </c>
      <c r="G9" t="s">
        <v>33</v>
      </c>
      <c r="H9">
        <v>5060</v>
      </c>
      <c r="I9">
        <v>8835</v>
      </c>
      <c r="K9" s="4">
        <f>SUM(H2:H174)</f>
        <v>265265</v>
      </c>
    </row>
    <row r="10" spans="1:11" x14ac:dyDescent="0.3">
      <c r="A10" t="s">
        <v>34</v>
      </c>
      <c r="B10" t="s">
        <v>25</v>
      </c>
      <c r="C10" t="s">
        <v>26</v>
      </c>
      <c r="D10">
        <v>1</v>
      </c>
      <c r="E10">
        <v>896</v>
      </c>
      <c r="F10">
        <v>360</v>
      </c>
      <c r="G10" t="s">
        <v>18</v>
      </c>
      <c r="H10">
        <v>536</v>
      </c>
      <c r="I10">
        <v>896</v>
      </c>
      <c r="K10" s="6" t="s">
        <v>175</v>
      </c>
    </row>
    <row r="11" spans="1:11" x14ac:dyDescent="0.3">
      <c r="A11" t="s">
        <v>35</v>
      </c>
      <c r="B11" t="s">
        <v>29</v>
      </c>
      <c r="C11" t="s">
        <v>26</v>
      </c>
      <c r="D11">
        <v>5</v>
      </c>
      <c r="E11">
        <v>1192</v>
      </c>
      <c r="F11">
        <v>723</v>
      </c>
      <c r="G11" t="s">
        <v>36</v>
      </c>
      <c r="H11">
        <v>2345</v>
      </c>
      <c r="I11">
        <v>5960</v>
      </c>
      <c r="K11" s="5">
        <f>AVERAGE(E2:E174)</f>
        <v>1086.2716763005781</v>
      </c>
    </row>
    <row r="12" spans="1:11" x14ac:dyDescent="0.3">
      <c r="A12" t="s">
        <v>37</v>
      </c>
      <c r="B12" t="s">
        <v>38</v>
      </c>
      <c r="C12" t="s">
        <v>15</v>
      </c>
      <c r="D12">
        <v>1</v>
      </c>
      <c r="E12">
        <v>369</v>
      </c>
      <c r="F12">
        <v>79</v>
      </c>
      <c r="G12" t="s">
        <v>39</v>
      </c>
      <c r="H12">
        <v>290</v>
      </c>
      <c r="I12">
        <v>369</v>
      </c>
    </row>
    <row r="13" spans="1:11" x14ac:dyDescent="0.3">
      <c r="A13" t="s">
        <v>40</v>
      </c>
      <c r="B13" t="s">
        <v>29</v>
      </c>
      <c r="C13" t="s">
        <v>26</v>
      </c>
      <c r="D13">
        <v>2</v>
      </c>
      <c r="E13">
        <v>1125</v>
      </c>
      <c r="F13">
        <v>698</v>
      </c>
      <c r="G13" t="s">
        <v>41</v>
      </c>
      <c r="H13">
        <v>854</v>
      </c>
      <c r="I13">
        <v>2250</v>
      </c>
    </row>
    <row r="14" spans="1:11" x14ac:dyDescent="0.3">
      <c r="A14" t="s">
        <v>42</v>
      </c>
      <c r="B14" t="s">
        <v>25</v>
      </c>
      <c r="C14" t="s">
        <v>26</v>
      </c>
      <c r="D14">
        <v>3</v>
      </c>
      <c r="E14">
        <v>841</v>
      </c>
      <c r="F14">
        <v>397</v>
      </c>
      <c r="G14" t="s">
        <v>30</v>
      </c>
      <c r="H14">
        <v>1332</v>
      </c>
      <c r="I14">
        <v>2523</v>
      </c>
    </row>
    <row r="15" spans="1:11" x14ac:dyDescent="0.3">
      <c r="A15" t="s">
        <v>43</v>
      </c>
      <c r="B15" t="s">
        <v>10</v>
      </c>
      <c r="C15" t="s">
        <v>11</v>
      </c>
      <c r="D15">
        <v>3</v>
      </c>
      <c r="E15">
        <v>1579</v>
      </c>
      <c r="F15">
        <v>937</v>
      </c>
      <c r="G15" t="s">
        <v>44</v>
      </c>
      <c r="H15">
        <v>1926</v>
      </c>
      <c r="I15">
        <v>4737</v>
      </c>
    </row>
    <row r="16" spans="1:11" x14ac:dyDescent="0.3">
      <c r="A16" t="s">
        <v>45</v>
      </c>
      <c r="B16" t="s">
        <v>14</v>
      </c>
      <c r="C16" t="s">
        <v>15</v>
      </c>
      <c r="D16">
        <v>2</v>
      </c>
      <c r="E16">
        <v>536</v>
      </c>
      <c r="F16">
        <v>343</v>
      </c>
      <c r="G16" t="s">
        <v>46</v>
      </c>
      <c r="H16">
        <v>386</v>
      </c>
      <c r="I16">
        <v>1072</v>
      </c>
    </row>
    <row r="17" spans="1:9" x14ac:dyDescent="0.3">
      <c r="A17" t="s">
        <v>47</v>
      </c>
      <c r="B17" t="s">
        <v>10</v>
      </c>
      <c r="C17" t="s">
        <v>11</v>
      </c>
      <c r="D17">
        <v>4</v>
      </c>
      <c r="E17">
        <v>1469</v>
      </c>
      <c r="F17">
        <v>931</v>
      </c>
      <c r="G17" t="s">
        <v>23</v>
      </c>
      <c r="H17">
        <v>2152</v>
      </c>
      <c r="I17">
        <v>5876</v>
      </c>
    </row>
    <row r="18" spans="1:9" x14ac:dyDescent="0.3">
      <c r="A18" t="s">
        <v>48</v>
      </c>
      <c r="B18" t="s">
        <v>22</v>
      </c>
      <c r="C18" t="s">
        <v>15</v>
      </c>
      <c r="D18">
        <v>3</v>
      </c>
      <c r="E18">
        <v>1296</v>
      </c>
      <c r="F18">
        <v>649</v>
      </c>
      <c r="G18" t="s">
        <v>49</v>
      </c>
      <c r="H18">
        <v>1941</v>
      </c>
      <c r="I18">
        <v>3888</v>
      </c>
    </row>
    <row r="19" spans="1:9" x14ac:dyDescent="0.3">
      <c r="A19" t="s">
        <v>50</v>
      </c>
      <c r="B19" t="s">
        <v>10</v>
      </c>
      <c r="C19" t="s">
        <v>11</v>
      </c>
      <c r="D19">
        <v>1</v>
      </c>
      <c r="E19">
        <v>1480</v>
      </c>
      <c r="F19">
        <v>901</v>
      </c>
      <c r="G19" t="s">
        <v>41</v>
      </c>
      <c r="H19">
        <v>579</v>
      </c>
      <c r="I19">
        <v>1480</v>
      </c>
    </row>
    <row r="20" spans="1:9" x14ac:dyDescent="0.3">
      <c r="A20" t="s">
        <v>51</v>
      </c>
      <c r="B20" t="s">
        <v>38</v>
      </c>
      <c r="C20" t="s">
        <v>15</v>
      </c>
      <c r="D20">
        <v>4</v>
      </c>
      <c r="E20">
        <v>364</v>
      </c>
      <c r="F20">
        <v>108</v>
      </c>
      <c r="G20" t="s">
        <v>52</v>
      </c>
      <c r="H20">
        <v>1024</v>
      </c>
      <c r="I20">
        <v>1456</v>
      </c>
    </row>
    <row r="21" spans="1:9" x14ac:dyDescent="0.3">
      <c r="A21" t="s">
        <v>9</v>
      </c>
      <c r="B21" t="s">
        <v>29</v>
      </c>
      <c r="C21" t="s">
        <v>26</v>
      </c>
      <c r="D21">
        <v>2</v>
      </c>
      <c r="E21">
        <v>1290</v>
      </c>
      <c r="F21">
        <v>721</v>
      </c>
      <c r="G21" t="s">
        <v>12</v>
      </c>
      <c r="H21">
        <v>1138</v>
      </c>
      <c r="I21">
        <v>2580</v>
      </c>
    </row>
    <row r="22" spans="1:9" x14ac:dyDescent="0.3">
      <c r="A22" t="s">
        <v>53</v>
      </c>
      <c r="B22" t="s">
        <v>29</v>
      </c>
      <c r="C22" t="s">
        <v>26</v>
      </c>
      <c r="D22">
        <v>5</v>
      </c>
      <c r="E22">
        <v>1209</v>
      </c>
      <c r="F22">
        <v>724</v>
      </c>
      <c r="G22" t="s">
        <v>54</v>
      </c>
      <c r="H22">
        <v>2425</v>
      </c>
      <c r="I22">
        <v>6045</v>
      </c>
    </row>
    <row r="23" spans="1:9" x14ac:dyDescent="0.3">
      <c r="A23" t="s">
        <v>48</v>
      </c>
      <c r="B23" t="s">
        <v>29</v>
      </c>
      <c r="C23" t="s">
        <v>26</v>
      </c>
      <c r="D23">
        <v>2</v>
      </c>
      <c r="E23">
        <v>1230</v>
      </c>
      <c r="F23">
        <v>713</v>
      </c>
      <c r="G23" t="s">
        <v>16</v>
      </c>
      <c r="H23">
        <v>1034</v>
      </c>
      <c r="I23">
        <v>2460</v>
      </c>
    </row>
    <row r="24" spans="1:9" x14ac:dyDescent="0.3">
      <c r="A24" t="s">
        <v>55</v>
      </c>
      <c r="B24" t="s">
        <v>32</v>
      </c>
      <c r="C24" t="s">
        <v>11</v>
      </c>
      <c r="D24">
        <v>1</v>
      </c>
      <c r="E24">
        <v>1739</v>
      </c>
      <c r="F24">
        <v>830</v>
      </c>
      <c r="G24" t="s">
        <v>56</v>
      </c>
      <c r="H24">
        <v>909</v>
      </c>
      <c r="I24">
        <v>1739</v>
      </c>
    </row>
    <row r="25" spans="1:9" x14ac:dyDescent="0.3">
      <c r="A25" t="s">
        <v>57</v>
      </c>
      <c r="B25" t="s">
        <v>32</v>
      </c>
      <c r="C25" t="s">
        <v>11</v>
      </c>
      <c r="D25">
        <v>4</v>
      </c>
      <c r="E25">
        <v>1852</v>
      </c>
      <c r="F25">
        <v>758</v>
      </c>
      <c r="G25" t="s">
        <v>58</v>
      </c>
      <c r="H25">
        <v>4376</v>
      </c>
      <c r="I25">
        <v>7408</v>
      </c>
    </row>
    <row r="26" spans="1:9" x14ac:dyDescent="0.3">
      <c r="A26" t="s">
        <v>59</v>
      </c>
      <c r="B26" t="s">
        <v>25</v>
      </c>
      <c r="C26" t="s">
        <v>26</v>
      </c>
      <c r="D26">
        <v>4</v>
      </c>
      <c r="E26">
        <v>935</v>
      </c>
      <c r="F26">
        <v>382</v>
      </c>
      <c r="G26" t="s">
        <v>18</v>
      </c>
      <c r="H26">
        <v>2212</v>
      </c>
      <c r="I26">
        <v>3740</v>
      </c>
    </row>
    <row r="27" spans="1:9" x14ac:dyDescent="0.3">
      <c r="A27" t="s">
        <v>60</v>
      </c>
      <c r="B27" t="s">
        <v>32</v>
      </c>
      <c r="C27" t="s">
        <v>11</v>
      </c>
      <c r="D27">
        <v>1</v>
      </c>
      <c r="E27">
        <v>1874</v>
      </c>
      <c r="F27">
        <v>842</v>
      </c>
      <c r="G27" t="s">
        <v>61</v>
      </c>
      <c r="H27">
        <v>1032</v>
      </c>
      <c r="I27">
        <v>1874</v>
      </c>
    </row>
    <row r="28" spans="1:9" x14ac:dyDescent="0.3">
      <c r="A28" t="s">
        <v>62</v>
      </c>
      <c r="B28" t="s">
        <v>38</v>
      </c>
      <c r="C28" t="s">
        <v>15</v>
      </c>
      <c r="D28">
        <v>5</v>
      </c>
      <c r="E28">
        <v>392</v>
      </c>
      <c r="F28">
        <v>84</v>
      </c>
      <c r="G28" t="s">
        <v>39</v>
      </c>
      <c r="H28">
        <v>1540</v>
      </c>
      <c r="I28">
        <v>1960</v>
      </c>
    </row>
    <row r="29" spans="1:9" x14ac:dyDescent="0.3">
      <c r="A29" t="s">
        <v>24</v>
      </c>
      <c r="B29" t="s">
        <v>38</v>
      </c>
      <c r="C29" t="s">
        <v>15</v>
      </c>
      <c r="D29">
        <v>1</v>
      </c>
      <c r="E29">
        <v>275</v>
      </c>
      <c r="F29">
        <v>105</v>
      </c>
      <c r="G29" t="s">
        <v>56</v>
      </c>
      <c r="H29">
        <v>170</v>
      </c>
      <c r="I29">
        <v>275</v>
      </c>
    </row>
    <row r="30" spans="1:9" x14ac:dyDescent="0.3">
      <c r="A30" t="s">
        <v>63</v>
      </c>
      <c r="B30" t="s">
        <v>25</v>
      </c>
      <c r="C30" t="s">
        <v>26</v>
      </c>
      <c r="D30">
        <v>3</v>
      </c>
      <c r="E30">
        <v>928</v>
      </c>
      <c r="F30">
        <v>447</v>
      </c>
      <c r="G30" t="s">
        <v>64</v>
      </c>
      <c r="H30">
        <v>1443</v>
      </c>
      <c r="I30">
        <v>2784</v>
      </c>
    </row>
    <row r="31" spans="1:9" x14ac:dyDescent="0.3">
      <c r="A31" t="s">
        <v>65</v>
      </c>
      <c r="B31" t="s">
        <v>22</v>
      </c>
      <c r="C31" t="s">
        <v>15</v>
      </c>
      <c r="D31">
        <v>1</v>
      </c>
      <c r="E31">
        <v>1260</v>
      </c>
      <c r="F31">
        <v>588</v>
      </c>
      <c r="G31" t="s">
        <v>66</v>
      </c>
      <c r="H31">
        <v>672</v>
      </c>
      <c r="I31">
        <v>1260</v>
      </c>
    </row>
    <row r="32" spans="1:9" x14ac:dyDescent="0.3">
      <c r="A32" t="s">
        <v>45</v>
      </c>
      <c r="B32" t="s">
        <v>22</v>
      </c>
      <c r="C32" t="s">
        <v>15</v>
      </c>
      <c r="D32">
        <v>2</v>
      </c>
      <c r="E32">
        <v>1139</v>
      </c>
      <c r="F32">
        <v>597</v>
      </c>
      <c r="G32" t="s">
        <v>27</v>
      </c>
      <c r="H32">
        <v>1084</v>
      </c>
      <c r="I32">
        <v>2278</v>
      </c>
    </row>
    <row r="33" spans="1:9" x14ac:dyDescent="0.3">
      <c r="A33" t="s">
        <v>67</v>
      </c>
      <c r="B33" t="s">
        <v>10</v>
      </c>
      <c r="C33" t="s">
        <v>11</v>
      </c>
      <c r="D33">
        <v>5</v>
      </c>
      <c r="E33">
        <v>1400</v>
      </c>
      <c r="F33">
        <v>926</v>
      </c>
      <c r="G33" t="s">
        <v>68</v>
      </c>
      <c r="H33">
        <v>2370</v>
      </c>
      <c r="I33">
        <v>7000</v>
      </c>
    </row>
    <row r="34" spans="1:9" x14ac:dyDescent="0.3">
      <c r="A34" t="s">
        <v>69</v>
      </c>
      <c r="B34" t="s">
        <v>25</v>
      </c>
      <c r="C34" t="s">
        <v>26</v>
      </c>
      <c r="D34">
        <v>1</v>
      </c>
      <c r="E34">
        <v>892</v>
      </c>
      <c r="F34">
        <v>389</v>
      </c>
      <c r="G34" t="s">
        <v>46</v>
      </c>
      <c r="H34">
        <v>503</v>
      </c>
      <c r="I34">
        <v>892</v>
      </c>
    </row>
    <row r="35" spans="1:9" x14ac:dyDescent="0.3">
      <c r="A35" t="s">
        <v>70</v>
      </c>
      <c r="B35" t="s">
        <v>14</v>
      </c>
      <c r="C35" t="s">
        <v>15</v>
      </c>
      <c r="D35">
        <v>5</v>
      </c>
      <c r="E35">
        <v>420</v>
      </c>
      <c r="F35">
        <v>260</v>
      </c>
      <c r="G35" t="s">
        <v>33</v>
      </c>
      <c r="H35">
        <v>800</v>
      </c>
      <c r="I35">
        <v>2100</v>
      </c>
    </row>
    <row r="36" spans="1:9" x14ac:dyDescent="0.3">
      <c r="A36" t="s">
        <v>71</v>
      </c>
      <c r="B36" t="s">
        <v>25</v>
      </c>
      <c r="C36" t="s">
        <v>26</v>
      </c>
      <c r="D36">
        <v>1</v>
      </c>
      <c r="E36">
        <v>994</v>
      </c>
      <c r="F36">
        <v>418</v>
      </c>
      <c r="G36" t="s">
        <v>39</v>
      </c>
      <c r="H36">
        <v>576</v>
      </c>
      <c r="I36">
        <v>994</v>
      </c>
    </row>
    <row r="37" spans="1:9" x14ac:dyDescent="0.3">
      <c r="A37" t="s">
        <v>72</v>
      </c>
      <c r="B37" t="s">
        <v>10</v>
      </c>
      <c r="C37" t="s">
        <v>11</v>
      </c>
      <c r="D37">
        <v>4</v>
      </c>
      <c r="E37">
        <v>1540</v>
      </c>
      <c r="F37">
        <v>871</v>
      </c>
      <c r="G37" t="s">
        <v>73</v>
      </c>
      <c r="H37">
        <v>2676</v>
      </c>
      <c r="I37">
        <v>6160</v>
      </c>
    </row>
    <row r="38" spans="1:9" x14ac:dyDescent="0.3">
      <c r="A38" t="s">
        <v>74</v>
      </c>
      <c r="B38" t="s">
        <v>22</v>
      </c>
      <c r="C38" t="s">
        <v>15</v>
      </c>
      <c r="D38">
        <v>5</v>
      </c>
      <c r="E38">
        <v>1208</v>
      </c>
      <c r="F38">
        <v>577</v>
      </c>
      <c r="G38" t="s">
        <v>12</v>
      </c>
      <c r="H38">
        <v>3155</v>
      </c>
      <c r="I38">
        <v>6040</v>
      </c>
    </row>
    <row r="39" spans="1:9" x14ac:dyDescent="0.3">
      <c r="A39" t="s">
        <v>75</v>
      </c>
      <c r="B39" t="s">
        <v>32</v>
      </c>
      <c r="C39" t="s">
        <v>11</v>
      </c>
      <c r="D39">
        <v>2</v>
      </c>
      <c r="E39">
        <v>1882</v>
      </c>
      <c r="F39">
        <v>789</v>
      </c>
      <c r="G39" t="s">
        <v>54</v>
      </c>
      <c r="H39">
        <v>2186</v>
      </c>
      <c r="I39">
        <v>3764</v>
      </c>
    </row>
    <row r="40" spans="1:9" x14ac:dyDescent="0.3">
      <c r="A40" t="s">
        <v>76</v>
      </c>
      <c r="B40" t="s">
        <v>14</v>
      </c>
      <c r="C40" t="s">
        <v>15</v>
      </c>
      <c r="D40">
        <v>2</v>
      </c>
      <c r="E40">
        <v>416</v>
      </c>
      <c r="F40">
        <v>293</v>
      </c>
      <c r="G40" t="s">
        <v>77</v>
      </c>
      <c r="H40">
        <v>246</v>
      </c>
      <c r="I40">
        <v>832</v>
      </c>
    </row>
    <row r="41" spans="1:9" x14ac:dyDescent="0.3">
      <c r="A41" t="s">
        <v>78</v>
      </c>
      <c r="B41" t="s">
        <v>22</v>
      </c>
      <c r="C41" t="s">
        <v>15</v>
      </c>
      <c r="D41">
        <v>2</v>
      </c>
      <c r="E41">
        <v>1250</v>
      </c>
      <c r="F41">
        <v>578</v>
      </c>
      <c r="G41" t="s">
        <v>79</v>
      </c>
      <c r="H41">
        <v>1344</v>
      </c>
      <c r="I41">
        <v>2500</v>
      </c>
    </row>
    <row r="42" spans="1:9" x14ac:dyDescent="0.3">
      <c r="A42" t="s">
        <v>80</v>
      </c>
      <c r="B42" t="s">
        <v>14</v>
      </c>
      <c r="C42" t="s">
        <v>15</v>
      </c>
      <c r="D42">
        <v>1</v>
      </c>
      <c r="E42">
        <v>458</v>
      </c>
      <c r="F42">
        <v>258</v>
      </c>
      <c r="G42" t="s">
        <v>81</v>
      </c>
      <c r="H42">
        <v>200</v>
      </c>
      <c r="I42">
        <v>458</v>
      </c>
    </row>
    <row r="43" spans="1:9" x14ac:dyDescent="0.3">
      <c r="A43" t="s">
        <v>82</v>
      </c>
      <c r="B43" t="s">
        <v>38</v>
      </c>
      <c r="C43" t="s">
        <v>15</v>
      </c>
      <c r="D43">
        <v>2</v>
      </c>
      <c r="E43">
        <v>338</v>
      </c>
      <c r="F43">
        <v>66</v>
      </c>
      <c r="G43" t="s">
        <v>33</v>
      </c>
      <c r="H43">
        <v>544</v>
      </c>
      <c r="I43">
        <v>676</v>
      </c>
    </row>
    <row r="44" spans="1:9" x14ac:dyDescent="0.3">
      <c r="A44" t="s">
        <v>83</v>
      </c>
      <c r="B44" t="s">
        <v>22</v>
      </c>
      <c r="C44" t="s">
        <v>15</v>
      </c>
      <c r="D44">
        <v>4</v>
      </c>
      <c r="E44">
        <v>1162</v>
      </c>
      <c r="F44">
        <v>650</v>
      </c>
      <c r="G44" t="s">
        <v>84</v>
      </c>
      <c r="H44">
        <v>2048</v>
      </c>
      <c r="I44">
        <v>4648</v>
      </c>
    </row>
    <row r="45" spans="1:9" x14ac:dyDescent="0.3">
      <c r="A45" t="s">
        <v>85</v>
      </c>
      <c r="B45" t="s">
        <v>32</v>
      </c>
      <c r="C45" t="s">
        <v>11</v>
      </c>
      <c r="D45">
        <v>2</v>
      </c>
      <c r="E45">
        <v>1724</v>
      </c>
      <c r="F45">
        <v>762</v>
      </c>
      <c r="G45" t="s">
        <v>86</v>
      </c>
      <c r="H45">
        <v>1924</v>
      </c>
      <c r="I45">
        <v>3448</v>
      </c>
    </row>
    <row r="46" spans="1:9" x14ac:dyDescent="0.3">
      <c r="A46" t="s">
        <v>87</v>
      </c>
      <c r="B46" t="s">
        <v>25</v>
      </c>
      <c r="C46" t="s">
        <v>26</v>
      </c>
      <c r="D46">
        <v>4</v>
      </c>
      <c r="E46">
        <v>905</v>
      </c>
      <c r="F46">
        <v>409</v>
      </c>
      <c r="G46" t="s">
        <v>33</v>
      </c>
      <c r="H46">
        <v>1984</v>
      </c>
      <c r="I46">
        <v>3620</v>
      </c>
    </row>
    <row r="47" spans="1:9" x14ac:dyDescent="0.3">
      <c r="A47" t="s">
        <v>88</v>
      </c>
      <c r="B47" t="s">
        <v>14</v>
      </c>
      <c r="C47" t="s">
        <v>15</v>
      </c>
      <c r="D47">
        <v>1</v>
      </c>
      <c r="E47">
        <v>415</v>
      </c>
      <c r="F47">
        <v>301</v>
      </c>
      <c r="G47" t="s">
        <v>33</v>
      </c>
      <c r="H47">
        <v>114</v>
      </c>
      <c r="I47">
        <v>415</v>
      </c>
    </row>
    <row r="48" spans="1:9" x14ac:dyDescent="0.3">
      <c r="A48" t="s">
        <v>89</v>
      </c>
      <c r="B48" t="s">
        <v>29</v>
      </c>
      <c r="C48" t="s">
        <v>26</v>
      </c>
      <c r="D48">
        <v>1</v>
      </c>
      <c r="E48">
        <v>1163</v>
      </c>
      <c r="F48">
        <v>674</v>
      </c>
      <c r="G48" t="s">
        <v>36</v>
      </c>
      <c r="H48">
        <v>489</v>
      </c>
      <c r="I48">
        <v>1163</v>
      </c>
    </row>
    <row r="49" spans="1:9" x14ac:dyDescent="0.3">
      <c r="A49" t="s">
        <v>90</v>
      </c>
      <c r="B49" t="s">
        <v>22</v>
      </c>
      <c r="C49" t="s">
        <v>15</v>
      </c>
      <c r="D49">
        <v>2</v>
      </c>
      <c r="E49">
        <v>1208</v>
      </c>
      <c r="F49">
        <v>573</v>
      </c>
      <c r="G49" t="s">
        <v>41</v>
      </c>
      <c r="H49">
        <v>1270</v>
      </c>
      <c r="I49">
        <v>2416</v>
      </c>
    </row>
    <row r="50" spans="1:9" x14ac:dyDescent="0.3">
      <c r="A50" t="s">
        <v>76</v>
      </c>
      <c r="B50" t="s">
        <v>25</v>
      </c>
      <c r="C50" t="s">
        <v>26</v>
      </c>
      <c r="D50">
        <v>1</v>
      </c>
      <c r="E50">
        <v>913</v>
      </c>
      <c r="F50">
        <v>420</v>
      </c>
      <c r="G50" t="s">
        <v>91</v>
      </c>
      <c r="H50">
        <v>493</v>
      </c>
      <c r="I50">
        <v>913</v>
      </c>
    </row>
    <row r="51" spans="1:9" x14ac:dyDescent="0.3">
      <c r="A51" t="s">
        <v>92</v>
      </c>
      <c r="B51" t="s">
        <v>10</v>
      </c>
      <c r="C51" t="s">
        <v>11</v>
      </c>
      <c r="D51">
        <v>4</v>
      </c>
      <c r="E51">
        <v>1415</v>
      </c>
      <c r="F51">
        <v>871</v>
      </c>
      <c r="G51" t="s">
        <v>58</v>
      </c>
      <c r="H51">
        <v>2176</v>
      </c>
      <c r="I51">
        <v>5660</v>
      </c>
    </row>
    <row r="52" spans="1:9" x14ac:dyDescent="0.3">
      <c r="A52" t="s">
        <v>93</v>
      </c>
      <c r="B52" t="s">
        <v>14</v>
      </c>
      <c r="C52" t="s">
        <v>15</v>
      </c>
      <c r="D52">
        <v>3</v>
      </c>
      <c r="E52">
        <v>600</v>
      </c>
      <c r="F52">
        <v>350</v>
      </c>
      <c r="G52" t="s">
        <v>94</v>
      </c>
      <c r="H52">
        <v>750</v>
      </c>
      <c r="I52">
        <v>1800</v>
      </c>
    </row>
    <row r="53" spans="1:9" x14ac:dyDescent="0.3">
      <c r="A53" t="s">
        <v>95</v>
      </c>
      <c r="B53" t="s">
        <v>29</v>
      </c>
      <c r="C53" t="s">
        <v>26</v>
      </c>
      <c r="D53">
        <v>5</v>
      </c>
      <c r="E53">
        <v>1269</v>
      </c>
      <c r="F53">
        <v>741</v>
      </c>
      <c r="G53" t="s">
        <v>96</v>
      </c>
      <c r="H53">
        <v>2640</v>
      </c>
      <c r="I53">
        <v>6345</v>
      </c>
    </row>
    <row r="54" spans="1:9" x14ac:dyDescent="0.3">
      <c r="A54" t="s">
        <v>97</v>
      </c>
      <c r="B54" t="s">
        <v>10</v>
      </c>
      <c r="C54" t="s">
        <v>11</v>
      </c>
      <c r="D54">
        <v>3</v>
      </c>
      <c r="E54">
        <v>1455</v>
      </c>
      <c r="F54">
        <v>857</v>
      </c>
      <c r="G54" t="s">
        <v>98</v>
      </c>
      <c r="H54">
        <v>1794</v>
      </c>
      <c r="I54">
        <v>4365</v>
      </c>
    </row>
    <row r="55" spans="1:9" x14ac:dyDescent="0.3">
      <c r="A55" t="s">
        <v>67</v>
      </c>
      <c r="B55" t="s">
        <v>38</v>
      </c>
      <c r="C55" t="s">
        <v>15</v>
      </c>
      <c r="D55">
        <v>1</v>
      </c>
      <c r="E55">
        <v>391</v>
      </c>
      <c r="F55">
        <v>514</v>
      </c>
      <c r="G55" t="s">
        <v>49</v>
      </c>
      <c r="H55">
        <v>-123</v>
      </c>
      <c r="I55">
        <v>391</v>
      </c>
    </row>
    <row r="56" spans="1:9" x14ac:dyDescent="0.3">
      <c r="A56" t="s">
        <v>99</v>
      </c>
      <c r="B56" t="s">
        <v>14</v>
      </c>
      <c r="C56" t="s">
        <v>15</v>
      </c>
      <c r="D56">
        <v>4</v>
      </c>
      <c r="E56">
        <v>528</v>
      </c>
      <c r="F56">
        <v>317</v>
      </c>
      <c r="G56" t="s">
        <v>56</v>
      </c>
      <c r="H56">
        <v>844</v>
      </c>
      <c r="I56">
        <v>2112</v>
      </c>
    </row>
    <row r="57" spans="1:9" x14ac:dyDescent="0.3">
      <c r="A57" t="s">
        <v>100</v>
      </c>
      <c r="B57" t="s">
        <v>14</v>
      </c>
      <c r="C57" t="s">
        <v>15</v>
      </c>
      <c r="D57">
        <v>1</v>
      </c>
      <c r="E57">
        <v>447</v>
      </c>
      <c r="F57">
        <v>258</v>
      </c>
      <c r="G57" t="s">
        <v>101</v>
      </c>
      <c r="H57">
        <v>189</v>
      </c>
      <c r="I57">
        <v>447</v>
      </c>
    </row>
    <row r="58" spans="1:9" x14ac:dyDescent="0.3">
      <c r="A58" t="s">
        <v>88</v>
      </c>
      <c r="B58" t="s">
        <v>14</v>
      </c>
      <c r="C58" t="s">
        <v>15</v>
      </c>
      <c r="D58">
        <v>2</v>
      </c>
      <c r="E58">
        <v>503</v>
      </c>
      <c r="F58">
        <v>265</v>
      </c>
      <c r="G58" t="s">
        <v>102</v>
      </c>
      <c r="H58">
        <v>476</v>
      </c>
      <c r="I58">
        <v>1006</v>
      </c>
    </row>
    <row r="59" spans="1:9" x14ac:dyDescent="0.3">
      <c r="A59" t="s">
        <v>99</v>
      </c>
      <c r="B59" t="s">
        <v>10</v>
      </c>
      <c r="C59" t="s">
        <v>11</v>
      </c>
      <c r="D59">
        <v>5</v>
      </c>
      <c r="E59">
        <v>1410</v>
      </c>
      <c r="F59">
        <v>929</v>
      </c>
      <c r="G59" t="s">
        <v>16</v>
      </c>
      <c r="H59">
        <v>2405</v>
      </c>
      <c r="I59">
        <v>7050</v>
      </c>
    </row>
    <row r="60" spans="1:9" x14ac:dyDescent="0.3">
      <c r="A60" t="s">
        <v>103</v>
      </c>
      <c r="B60" t="s">
        <v>25</v>
      </c>
      <c r="C60" t="s">
        <v>26</v>
      </c>
      <c r="D60">
        <v>5</v>
      </c>
      <c r="E60">
        <v>944</v>
      </c>
      <c r="F60">
        <v>416</v>
      </c>
      <c r="G60" t="s">
        <v>68</v>
      </c>
      <c r="H60">
        <v>2640</v>
      </c>
      <c r="I60">
        <v>4720</v>
      </c>
    </row>
    <row r="61" spans="1:9" x14ac:dyDescent="0.3">
      <c r="A61" t="s">
        <v>104</v>
      </c>
      <c r="B61" t="s">
        <v>29</v>
      </c>
      <c r="C61" t="s">
        <v>26</v>
      </c>
      <c r="D61">
        <v>3</v>
      </c>
      <c r="E61">
        <v>1161</v>
      </c>
      <c r="F61">
        <v>683</v>
      </c>
      <c r="G61" t="s">
        <v>54</v>
      </c>
      <c r="H61">
        <v>1434</v>
      </c>
      <c r="I61">
        <v>3483</v>
      </c>
    </row>
    <row r="62" spans="1:9" x14ac:dyDescent="0.3">
      <c r="A62" t="s">
        <v>43</v>
      </c>
      <c r="B62" t="s">
        <v>10</v>
      </c>
      <c r="C62" t="s">
        <v>11</v>
      </c>
      <c r="D62">
        <v>3</v>
      </c>
      <c r="E62">
        <v>1517</v>
      </c>
      <c r="F62">
        <v>890</v>
      </c>
      <c r="G62" t="s">
        <v>27</v>
      </c>
      <c r="H62">
        <v>1881</v>
      </c>
      <c r="I62">
        <v>4551</v>
      </c>
    </row>
    <row r="63" spans="1:9" x14ac:dyDescent="0.3">
      <c r="A63" t="s">
        <v>105</v>
      </c>
      <c r="B63" t="s">
        <v>14</v>
      </c>
      <c r="C63" t="s">
        <v>15</v>
      </c>
      <c r="D63">
        <v>4</v>
      </c>
      <c r="E63">
        <v>559</v>
      </c>
      <c r="F63">
        <v>322</v>
      </c>
      <c r="G63" t="s">
        <v>91</v>
      </c>
      <c r="H63">
        <v>948</v>
      </c>
      <c r="I63">
        <v>2236</v>
      </c>
    </row>
    <row r="64" spans="1:9" x14ac:dyDescent="0.3">
      <c r="A64" t="s">
        <v>34</v>
      </c>
      <c r="B64" t="s">
        <v>14</v>
      </c>
      <c r="C64" t="s">
        <v>15</v>
      </c>
      <c r="D64">
        <v>2</v>
      </c>
      <c r="E64">
        <v>529</v>
      </c>
      <c r="F64">
        <v>283</v>
      </c>
      <c r="G64" t="s">
        <v>106</v>
      </c>
      <c r="H64">
        <v>492</v>
      </c>
      <c r="I64">
        <v>1058</v>
      </c>
    </row>
    <row r="65" spans="1:9" x14ac:dyDescent="0.3">
      <c r="A65" t="s">
        <v>107</v>
      </c>
      <c r="B65" t="s">
        <v>29</v>
      </c>
      <c r="C65" t="s">
        <v>26</v>
      </c>
      <c r="D65">
        <v>1</v>
      </c>
      <c r="E65">
        <v>1162</v>
      </c>
      <c r="F65">
        <v>697</v>
      </c>
      <c r="G65" t="s">
        <v>108</v>
      </c>
      <c r="H65">
        <v>465</v>
      </c>
      <c r="I65">
        <v>1162</v>
      </c>
    </row>
    <row r="66" spans="1:9" x14ac:dyDescent="0.3">
      <c r="A66" t="s">
        <v>109</v>
      </c>
      <c r="B66" t="s">
        <v>10</v>
      </c>
      <c r="C66" t="s">
        <v>11</v>
      </c>
      <c r="D66">
        <v>5</v>
      </c>
      <c r="E66">
        <v>1580</v>
      </c>
      <c r="F66">
        <v>888</v>
      </c>
      <c r="G66" t="s">
        <v>110</v>
      </c>
      <c r="H66">
        <v>3460</v>
      </c>
      <c r="I66">
        <v>7900</v>
      </c>
    </row>
    <row r="67" spans="1:9" x14ac:dyDescent="0.3">
      <c r="A67" t="s">
        <v>111</v>
      </c>
      <c r="B67" t="s">
        <v>32</v>
      </c>
      <c r="C67" t="s">
        <v>11</v>
      </c>
      <c r="D67">
        <v>5</v>
      </c>
      <c r="E67">
        <v>1702</v>
      </c>
      <c r="F67">
        <v>835</v>
      </c>
      <c r="G67" t="s">
        <v>18</v>
      </c>
      <c r="H67">
        <v>4335</v>
      </c>
      <c r="I67">
        <v>8510</v>
      </c>
    </row>
    <row r="68" spans="1:9" x14ac:dyDescent="0.3">
      <c r="A68" t="s">
        <v>112</v>
      </c>
      <c r="B68" t="s">
        <v>29</v>
      </c>
      <c r="C68" t="s">
        <v>26</v>
      </c>
      <c r="D68">
        <v>1</v>
      </c>
      <c r="E68">
        <v>1134</v>
      </c>
      <c r="F68">
        <v>683</v>
      </c>
      <c r="G68" t="s">
        <v>61</v>
      </c>
      <c r="H68">
        <v>451</v>
      </c>
      <c r="I68">
        <v>1134</v>
      </c>
    </row>
    <row r="69" spans="1:9" x14ac:dyDescent="0.3">
      <c r="A69" t="s">
        <v>53</v>
      </c>
      <c r="B69" t="s">
        <v>14</v>
      </c>
      <c r="C69" t="s">
        <v>15</v>
      </c>
      <c r="D69">
        <v>5</v>
      </c>
      <c r="E69">
        <v>439</v>
      </c>
      <c r="F69">
        <v>284</v>
      </c>
      <c r="G69" t="s">
        <v>108</v>
      </c>
      <c r="H69">
        <v>775</v>
      </c>
      <c r="I69">
        <v>2195</v>
      </c>
    </row>
    <row r="70" spans="1:9" x14ac:dyDescent="0.3">
      <c r="A70" t="s">
        <v>104</v>
      </c>
      <c r="B70" t="s">
        <v>22</v>
      </c>
      <c r="C70" t="s">
        <v>15</v>
      </c>
      <c r="D70">
        <v>3</v>
      </c>
      <c r="E70">
        <v>1152</v>
      </c>
      <c r="F70">
        <v>1210</v>
      </c>
      <c r="G70" t="s">
        <v>66</v>
      </c>
      <c r="H70">
        <v>-174</v>
      </c>
      <c r="I70">
        <v>3456</v>
      </c>
    </row>
    <row r="71" spans="1:9" x14ac:dyDescent="0.3">
      <c r="A71" t="s">
        <v>113</v>
      </c>
      <c r="B71" t="s">
        <v>32</v>
      </c>
      <c r="C71" t="s">
        <v>11</v>
      </c>
      <c r="D71">
        <v>5</v>
      </c>
      <c r="E71">
        <v>1825</v>
      </c>
      <c r="F71">
        <v>782</v>
      </c>
      <c r="G71" t="s">
        <v>49</v>
      </c>
      <c r="H71">
        <v>5215</v>
      </c>
      <c r="I71">
        <v>9125</v>
      </c>
    </row>
    <row r="72" spans="1:9" x14ac:dyDescent="0.3">
      <c r="A72" t="s">
        <v>42</v>
      </c>
      <c r="B72" t="s">
        <v>14</v>
      </c>
      <c r="C72" t="s">
        <v>15</v>
      </c>
      <c r="D72">
        <v>4</v>
      </c>
      <c r="E72">
        <v>470</v>
      </c>
      <c r="F72">
        <v>255</v>
      </c>
      <c r="G72" t="s">
        <v>79</v>
      </c>
      <c r="H72">
        <v>860</v>
      </c>
      <c r="I72">
        <v>1880</v>
      </c>
    </row>
    <row r="73" spans="1:9" x14ac:dyDescent="0.3">
      <c r="A73" t="s">
        <v>114</v>
      </c>
      <c r="B73" t="s">
        <v>29</v>
      </c>
      <c r="C73" t="s">
        <v>26</v>
      </c>
      <c r="D73">
        <v>2</v>
      </c>
      <c r="E73">
        <v>1263</v>
      </c>
      <c r="F73">
        <v>683</v>
      </c>
      <c r="G73" t="s">
        <v>56</v>
      </c>
      <c r="H73">
        <v>1160</v>
      </c>
      <c r="I73">
        <v>2526</v>
      </c>
    </row>
    <row r="74" spans="1:9" x14ac:dyDescent="0.3">
      <c r="A74" t="s">
        <v>109</v>
      </c>
      <c r="B74" t="s">
        <v>38</v>
      </c>
      <c r="C74" t="s">
        <v>15</v>
      </c>
      <c r="D74">
        <v>5</v>
      </c>
      <c r="E74">
        <v>380</v>
      </c>
      <c r="F74">
        <v>104</v>
      </c>
      <c r="G74" t="s">
        <v>18</v>
      </c>
      <c r="H74">
        <v>1380</v>
      </c>
      <c r="I74">
        <v>1900</v>
      </c>
    </row>
    <row r="75" spans="1:9" x14ac:dyDescent="0.3">
      <c r="A75" t="s">
        <v>115</v>
      </c>
      <c r="B75" t="s">
        <v>14</v>
      </c>
      <c r="C75" t="s">
        <v>15</v>
      </c>
      <c r="D75">
        <v>1</v>
      </c>
      <c r="E75">
        <v>576</v>
      </c>
      <c r="F75">
        <v>269</v>
      </c>
      <c r="G75" t="s">
        <v>12</v>
      </c>
      <c r="H75">
        <v>307</v>
      </c>
      <c r="I75">
        <v>576</v>
      </c>
    </row>
    <row r="76" spans="1:9" x14ac:dyDescent="0.3">
      <c r="A76" t="s">
        <v>35</v>
      </c>
      <c r="B76" t="s">
        <v>14</v>
      </c>
      <c r="C76" t="s">
        <v>15</v>
      </c>
      <c r="D76">
        <v>3</v>
      </c>
      <c r="E76">
        <v>549</v>
      </c>
      <c r="F76">
        <v>320</v>
      </c>
      <c r="G76" t="s">
        <v>52</v>
      </c>
      <c r="H76">
        <v>687</v>
      </c>
      <c r="I76">
        <v>1647</v>
      </c>
    </row>
    <row r="77" spans="1:9" x14ac:dyDescent="0.3">
      <c r="A77" t="s">
        <v>72</v>
      </c>
      <c r="B77" t="s">
        <v>25</v>
      </c>
      <c r="C77" t="s">
        <v>26</v>
      </c>
      <c r="D77">
        <v>1</v>
      </c>
      <c r="E77">
        <v>878</v>
      </c>
      <c r="F77">
        <v>396</v>
      </c>
      <c r="G77" t="s">
        <v>81</v>
      </c>
      <c r="H77">
        <v>482</v>
      </c>
      <c r="I77">
        <v>878</v>
      </c>
    </row>
    <row r="78" spans="1:9" x14ac:dyDescent="0.3">
      <c r="A78" t="s">
        <v>104</v>
      </c>
      <c r="B78" t="s">
        <v>29</v>
      </c>
      <c r="C78" t="s">
        <v>26</v>
      </c>
      <c r="D78">
        <v>2</v>
      </c>
      <c r="E78">
        <v>1270</v>
      </c>
      <c r="F78">
        <v>663</v>
      </c>
      <c r="G78" t="s">
        <v>30</v>
      </c>
      <c r="H78">
        <v>1214</v>
      </c>
      <c r="I78">
        <v>2540</v>
      </c>
    </row>
    <row r="79" spans="1:9" x14ac:dyDescent="0.3">
      <c r="A79" t="s">
        <v>116</v>
      </c>
      <c r="B79" t="s">
        <v>32</v>
      </c>
      <c r="C79" t="s">
        <v>11</v>
      </c>
      <c r="D79">
        <v>4</v>
      </c>
      <c r="E79">
        <v>1858</v>
      </c>
      <c r="F79">
        <v>845</v>
      </c>
      <c r="G79" t="s">
        <v>52</v>
      </c>
      <c r="H79">
        <v>4052</v>
      </c>
      <c r="I79">
        <v>7432</v>
      </c>
    </row>
    <row r="80" spans="1:9" x14ac:dyDescent="0.3">
      <c r="A80" t="s">
        <v>92</v>
      </c>
      <c r="B80" t="s">
        <v>10</v>
      </c>
      <c r="C80" t="s">
        <v>11</v>
      </c>
      <c r="D80">
        <v>2</v>
      </c>
      <c r="E80">
        <v>1445</v>
      </c>
      <c r="F80">
        <v>902</v>
      </c>
      <c r="G80" t="s">
        <v>77</v>
      </c>
      <c r="H80">
        <v>1086</v>
      </c>
      <c r="I80">
        <v>2890</v>
      </c>
    </row>
    <row r="81" spans="1:9" x14ac:dyDescent="0.3">
      <c r="A81" t="s">
        <v>117</v>
      </c>
      <c r="B81" t="s">
        <v>10</v>
      </c>
      <c r="C81" t="s">
        <v>11</v>
      </c>
      <c r="D81">
        <v>3</v>
      </c>
      <c r="E81">
        <v>1600</v>
      </c>
      <c r="F81">
        <v>902</v>
      </c>
      <c r="G81" t="s">
        <v>86</v>
      </c>
      <c r="H81">
        <v>2094</v>
      </c>
      <c r="I81">
        <v>4800</v>
      </c>
    </row>
    <row r="82" spans="1:9" x14ac:dyDescent="0.3">
      <c r="A82" t="s">
        <v>117</v>
      </c>
      <c r="B82" t="s">
        <v>32</v>
      </c>
      <c r="C82" t="s">
        <v>11</v>
      </c>
      <c r="D82">
        <v>2</v>
      </c>
      <c r="E82">
        <v>1768</v>
      </c>
      <c r="F82">
        <v>770</v>
      </c>
      <c r="G82" t="s">
        <v>23</v>
      </c>
      <c r="H82">
        <v>1996</v>
      </c>
      <c r="I82">
        <v>3536</v>
      </c>
    </row>
    <row r="83" spans="1:9" x14ac:dyDescent="0.3">
      <c r="A83" t="s">
        <v>118</v>
      </c>
      <c r="B83" t="s">
        <v>14</v>
      </c>
      <c r="C83" t="s">
        <v>15</v>
      </c>
      <c r="D83">
        <v>1</v>
      </c>
      <c r="E83">
        <v>520</v>
      </c>
      <c r="F83">
        <v>278</v>
      </c>
      <c r="G83" t="s">
        <v>36</v>
      </c>
      <c r="H83">
        <v>242</v>
      </c>
      <c r="I83">
        <v>520</v>
      </c>
    </row>
    <row r="84" spans="1:9" x14ac:dyDescent="0.3">
      <c r="A84" t="s">
        <v>119</v>
      </c>
      <c r="B84" t="s">
        <v>32</v>
      </c>
      <c r="C84" t="s">
        <v>11</v>
      </c>
      <c r="D84">
        <v>4</v>
      </c>
      <c r="E84">
        <v>1789</v>
      </c>
      <c r="F84">
        <v>789</v>
      </c>
      <c r="G84" t="s">
        <v>120</v>
      </c>
      <c r="H84">
        <v>4000</v>
      </c>
      <c r="I84">
        <v>7156</v>
      </c>
    </row>
    <row r="85" spans="1:9" x14ac:dyDescent="0.3">
      <c r="A85" t="s">
        <v>121</v>
      </c>
      <c r="B85" t="s">
        <v>10</v>
      </c>
      <c r="C85" t="s">
        <v>11</v>
      </c>
      <c r="D85">
        <v>2</v>
      </c>
      <c r="E85">
        <v>1502</v>
      </c>
      <c r="F85">
        <v>892</v>
      </c>
      <c r="G85" t="s">
        <v>41</v>
      </c>
      <c r="H85">
        <v>1220</v>
      </c>
      <c r="I85">
        <v>3004</v>
      </c>
    </row>
    <row r="86" spans="1:9" x14ac:dyDescent="0.3">
      <c r="A86" t="s">
        <v>37</v>
      </c>
      <c r="B86" t="s">
        <v>32</v>
      </c>
      <c r="C86" t="s">
        <v>11</v>
      </c>
      <c r="D86">
        <v>3</v>
      </c>
      <c r="E86">
        <v>1789</v>
      </c>
      <c r="F86">
        <v>832</v>
      </c>
      <c r="G86" t="s">
        <v>122</v>
      </c>
      <c r="H86">
        <v>2871</v>
      </c>
      <c r="I86">
        <v>5367</v>
      </c>
    </row>
    <row r="87" spans="1:9" x14ac:dyDescent="0.3">
      <c r="A87" t="s">
        <v>88</v>
      </c>
      <c r="B87" t="s">
        <v>25</v>
      </c>
      <c r="C87" t="s">
        <v>26</v>
      </c>
      <c r="D87">
        <v>5</v>
      </c>
      <c r="E87">
        <v>884</v>
      </c>
      <c r="F87">
        <v>353</v>
      </c>
      <c r="G87" t="s">
        <v>61</v>
      </c>
      <c r="H87">
        <v>2655</v>
      </c>
      <c r="I87">
        <v>4420</v>
      </c>
    </row>
    <row r="88" spans="1:9" x14ac:dyDescent="0.3">
      <c r="A88" t="s">
        <v>123</v>
      </c>
      <c r="B88" t="s">
        <v>29</v>
      </c>
      <c r="C88" t="s">
        <v>26</v>
      </c>
      <c r="D88">
        <v>5</v>
      </c>
      <c r="E88">
        <v>1167</v>
      </c>
      <c r="F88">
        <v>654</v>
      </c>
      <c r="G88" t="s">
        <v>91</v>
      </c>
      <c r="H88">
        <v>2565</v>
      </c>
      <c r="I88">
        <v>5835</v>
      </c>
    </row>
    <row r="89" spans="1:9" x14ac:dyDescent="0.3">
      <c r="A89" t="s">
        <v>124</v>
      </c>
      <c r="B89" t="s">
        <v>22</v>
      </c>
      <c r="C89" t="s">
        <v>15</v>
      </c>
      <c r="D89">
        <v>3</v>
      </c>
      <c r="E89">
        <v>1286</v>
      </c>
      <c r="F89">
        <v>650</v>
      </c>
      <c r="G89" t="s">
        <v>68</v>
      </c>
      <c r="H89">
        <v>1908</v>
      </c>
      <c r="I89">
        <v>3858</v>
      </c>
    </row>
    <row r="90" spans="1:9" x14ac:dyDescent="0.3">
      <c r="A90" t="s">
        <v>45</v>
      </c>
      <c r="B90" t="s">
        <v>25</v>
      </c>
      <c r="C90" t="s">
        <v>26</v>
      </c>
      <c r="D90">
        <v>5</v>
      </c>
      <c r="E90">
        <v>829</v>
      </c>
      <c r="F90">
        <v>399</v>
      </c>
      <c r="G90" t="s">
        <v>102</v>
      </c>
      <c r="H90">
        <v>2150</v>
      </c>
      <c r="I90">
        <v>4145</v>
      </c>
    </row>
    <row r="91" spans="1:9" x14ac:dyDescent="0.3">
      <c r="A91" t="s">
        <v>125</v>
      </c>
      <c r="B91" t="s">
        <v>10</v>
      </c>
      <c r="C91" t="s">
        <v>11</v>
      </c>
      <c r="D91">
        <v>1</v>
      </c>
      <c r="E91">
        <v>1581</v>
      </c>
      <c r="F91">
        <v>905</v>
      </c>
      <c r="G91" t="s">
        <v>79</v>
      </c>
      <c r="H91">
        <v>676</v>
      </c>
      <c r="I91">
        <v>1581</v>
      </c>
    </row>
    <row r="92" spans="1:9" x14ac:dyDescent="0.3">
      <c r="A92" t="s">
        <v>126</v>
      </c>
      <c r="B92" t="s">
        <v>22</v>
      </c>
      <c r="C92" t="s">
        <v>15</v>
      </c>
      <c r="D92">
        <v>5</v>
      </c>
      <c r="E92">
        <v>1275</v>
      </c>
      <c r="F92">
        <v>642</v>
      </c>
      <c r="G92" t="s">
        <v>127</v>
      </c>
      <c r="H92">
        <v>3165</v>
      </c>
      <c r="I92">
        <v>6375</v>
      </c>
    </row>
    <row r="93" spans="1:9" x14ac:dyDescent="0.3">
      <c r="A93" t="s">
        <v>43</v>
      </c>
      <c r="B93" t="s">
        <v>38</v>
      </c>
      <c r="C93" t="s">
        <v>15</v>
      </c>
      <c r="D93">
        <v>2</v>
      </c>
      <c r="E93">
        <v>293</v>
      </c>
      <c r="F93">
        <v>105</v>
      </c>
      <c r="G93" t="s">
        <v>128</v>
      </c>
      <c r="H93">
        <v>376</v>
      </c>
      <c r="I93">
        <v>586</v>
      </c>
    </row>
    <row r="94" spans="1:9" x14ac:dyDescent="0.3">
      <c r="A94" t="s">
        <v>119</v>
      </c>
      <c r="B94" t="s">
        <v>38</v>
      </c>
      <c r="C94" t="s">
        <v>15</v>
      </c>
      <c r="D94">
        <v>3</v>
      </c>
      <c r="E94">
        <v>359</v>
      </c>
      <c r="F94">
        <v>90</v>
      </c>
      <c r="G94" t="s">
        <v>86</v>
      </c>
      <c r="H94">
        <v>807</v>
      </c>
      <c r="I94">
        <v>1077</v>
      </c>
    </row>
    <row r="95" spans="1:9" x14ac:dyDescent="0.3">
      <c r="A95" t="s">
        <v>129</v>
      </c>
      <c r="B95" t="s">
        <v>32</v>
      </c>
      <c r="C95" t="s">
        <v>11</v>
      </c>
      <c r="D95">
        <v>3</v>
      </c>
      <c r="E95">
        <v>1829</v>
      </c>
      <c r="F95">
        <v>789</v>
      </c>
      <c r="G95" t="s">
        <v>86</v>
      </c>
      <c r="H95">
        <v>3120</v>
      </c>
      <c r="I95">
        <v>5487</v>
      </c>
    </row>
    <row r="96" spans="1:9" x14ac:dyDescent="0.3">
      <c r="A96" t="s">
        <v>130</v>
      </c>
      <c r="B96" t="s">
        <v>25</v>
      </c>
      <c r="C96" t="s">
        <v>26</v>
      </c>
      <c r="D96">
        <v>4</v>
      </c>
      <c r="E96">
        <v>978</v>
      </c>
      <c r="F96">
        <v>387</v>
      </c>
      <c r="G96" t="s">
        <v>18</v>
      </c>
      <c r="H96">
        <v>2364</v>
      </c>
      <c r="I96">
        <v>3912</v>
      </c>
    </row>
    <row r="97" spans="1:9" x14ac:dyDescent="0.3">
      <c r="A97" t="s">
        <v>97</v>
      </c>
      <c r="B97" t="s">
        <v>10</v>
      </c>
      <c r="C97" t="s">
        <v>11</v>
      </c>
      <c r="D97">
        <v>4</v>
      </c>
      <c r="E97">
        <v>1570</v>
      </c>
      <c r="F97">
        <v>898</v>
      </c>
      <c r="G97" t="s">
        <v>131</v>
      </c>
      <c r="H97">
        <v>2688</v>
      </c>
      <c r="I97">
        <v>6280</v>
      </c>
    </row>
    <row r="98" spans="1:9" x14ac:dyDescent="0.3">
      <c r="A98" t="s">
        <v>132</v>
      </c>
      <c r="B98" t="s">
        <v>38</v>
      </c>
      <c r="C98" t="s">
        <v>15</v>
      </c>
      <c r="D98">
        <v>2</v>
      </c>
      <c r="E98">
        <v>357</v>
      </c>
      <c r="F98">
        <v>122</v>
      </c>
      <c r="G98" t="s">
        <v>133</v>
      </c>
      <c r="H98">
        <v>470</v>
      </c>
      <c r="I98">
        <v>714</v>
      </c>
    </row>
    <row r="99" spans="1:9" x14ac:dyDescent="0.3">
      <c r="A99" t="s">
        <v>78</v>
      </c>
      <c r="B99" t="s">
        <v>25</v>
      </c>
      <c r="C99" t="s">
        <v>26</v>
      </c>
      <c r="D99">
        <v>1</v>
      </c>
      <c r="E99">
        <v>877</v>
      </c>
      <c r="F99">
        <v>386</v>
      </c>
      <c r="G99" t="s">
        <v>134</v>
      </c>
      <c r="H99">
        <v>491</v>
      </c>
      <c r="I99">
        <v>877</v>
      </c>
    </row>
    <row r="100" spans="1:9" x14ac:dyDescent="0.3">
      <c r="A100" t="s">
        <v>135</v>
      </c>
      <c r="B100" t="s">
        <v>25</v>
      </c>
      <c r="C100" t="s">
        <v>26</v>
      </c>
      <c r="D100">
        <v>5</v>
      </c>
      <c r="E100">
        <v>955</v>
      </c>
      <c r="F100">
        <v>433</v>
      </c>
      <c r="G100" t="s">
        <v>68</v>
      </c>
      <c r="H100">
        <v>2610</v>
      </c>
      <c r="I100">
        <v>4775</v>
      </c>
    </row>
    <row r="101" spans="1:9" x14ac:dyDescent="0.3">
      <c r="A101" t="s">
        <v>109</v>
      </c>
      <c r="B101" t="s">
        <v>25</v>
      </c>
      <c r="C101" t="s">
        <v>26</v>
      </c>
      <c r="D101">
        <v>4</v>
      </c>
      <c r="E101">
        <v>972</v>
      </c>
      <c r="F101">
        <v>377</v>
      </c>
      <c r="G101" t="s">
        <v>122</v>
      </c>
      <c r="H101">
        <v>2380</v>
      </c>
      <c r="I101">
        <v>3888</v>
      </c>
    </row>
    <row r="102" spans="1:9" x14ac:dyDescent="0.3">
      <c r="A102" t="s">
        <v>136</v>
      </c>
      <c r="B102" t="s">
        <v>25</v>
      </c>
      <c r="C102" t="s">
        <v>26</v>
      </c>
      <c r="D102">
        <v>2</v>
      </c>
      <c r="E102">
        <v>968</v>
      </c>
      <c r="F102">
        <v>360</v>
      </c>
      <c r="G102" t="s">
        <v>108</v>
      </c>
      <c r="H102">
        <v>1216</v>
      </c>
      <c r="I102">
        <v>1936</v>
      </c>
    </row>
    <row r="103" spans="1:9" x14ac:dyDescent="0.3">
      <c r="A103" t="s">
        <v>103</v>
      </c>
      <c r="B103" t="s">
        <v>22</v>
      </c>
      <c r="C103" t="s">
        <v>15</v>
      </c>
      <c r="D103">
        <v>5</v>
      </c>
      <c r="E103">
        <v>1185</v>
      </c>
      <c r="F103">
        <v>561</v>
      </c>
      <c r="G103" t="s">
        <v>27</v>
      </c>
      <c r="H103">
        <v>3120</v>
      </c>
      <c r="I103">
        <v>5925</v>
      </c>
    </row>
    <row r="104" spans="1:9" x14ac:dyDescent="0.3">
      <c r="A104" t="s">
        <v>88</v>
      </c>
      <c r="B104" t="s">
        <v>10</v>
      </c>
      <c r="C104" t="s">
        <v>11</v>
      </c>
      <c r="D104">
        <v>3</v>
      </c>
      <c r="E104">
        <v>1457</v>
      </c>
      <c r="F104">
        <v>875</v>
      </c>
      <c r="G104" t="s">
        <v>52</v>
      </c>
      <c r="H104">
        <v>1746</v>
      </c>
      <c r="I104">
        <v>4371</v>
      </c>
    </row>
    <row r="105" spans="1:9" x14ac:dyDescent="0.3">
      <c r="A105" t="s">
        <v>137</v>
      </c>
      <c r="B105" t="s">
        <v>14</v>
      </c>
      <c r="C105" t="s">
        <v>15</v>
      </c>
      <c r="D105">
        <v>2</v>
      </c>
      <c r="E105">
        <v>521</v>
      </c>
      <c r="F105">
        <v>328</v>
      </c>
      <c r="G105" t="s">
        <v>39</v>
      </c>
      <c r="H105">
        <v>386</v>
      </c>
      <c r="I105">
        <v>1042</v>
      </c>
    </row>
    <row r="106" spans="1:9" x14ac:dyDescent="0.3">
      <c r="A106" t="s">
        <v>138</v>
      </c>
      <c r="B106" t="s">
        <v>14</v>
      </c>
      <c r="C106" t="s">
        <v>15</v>
      </c>
      <c r="D106">
        <v>4</v>
      </c>
      <c r="E106">
        <v>561</v>
      </c>
      <c r="F106">
        <v>323</v>
      </c>
      <c r="G106" t="s">
        <v>36</v>
      </c>
      <c r="H106">
        <v>952</v>
      </c>
      <c r="I106">
        <v>2244</v>
      </c>
    </row>
    <row r="107" spans="1:9" x14ac:dyDescent="0.3">
      <c r="A107" t="s">
        <v>139</v>
      </c>
      <c r="B107" t="s">
        <v>38</v>
      </c>
      <c r="C107" t="s">
        <v>15</v>
      </c>
      <c r="D107">
        <v>4</v>
      </c>
      <c r="E107">
        <v>326</v>
      </c>
      <c r="F107">
        <v>101</v>
      </c>
      <c r="G107" t="s">
        <v>46</v>
      </c>
      <c r="H107">
        <v>900</v>
      </c>
      <c r="I107">
        <v>1304</v>
      </c>
    </row>
    <row r="108" spans="1:9" x14ac:dyDescent="0.3">
      <c r="A108" t="s">
        <v>111</v>
      </c>
      <c r="B108" t="s">
        <v>10</v>
      </c>
      <c r="C108" t="s">
        <v>11</v>
      </c>
      <c r="D108">
        <v>1</v>
      </c>
      <c r="E108">
        <v>1592</v>
      </c>
      <c r="F108">
        <v>948</v>
      </c>
      <c r="G108" t="s">
        <v>91</v>
      </c>
      <c r="H108">
        <v>644</v>
      </c>
      <c r="I108">
        <v>1592</v>
      </c>
    </row>
    <row r="109" spans="1:9" x14ac:dyDescent="0.3">
      <c r="A109" t="s">
        <v>95</v>
      </c>
      <c r="B109" t="s">
        <v>32</v>
      </c>
      <c r="C109" t="s">
        <v>11</v>
      </c>
      <c r="D109">
        <v>2</v>
      </c>
      <c r="E109">
        <v>1745</v>
      </c>
      <c r="F109">
        <v>839</v>
      </c>
      <c r="G109" t="s">
        <v>140</v>
      </c>
      <c r="H109">
        <v>1812</v>
      </c>
      <c r="I109">
        <v>3490</v>
      </c>
    </row>
    <row r="110" spans="1:9" x14ac:dyDescent="0.3">
      <c r="A110" t="s">
        <v>55</v>
      </c>
      <c r="B110" t="s">
        <v>25</v>
      </c>
      <c r="C110" t="s">
        <v>26</v>
      </c>
      <c r="D110">
        <v>5</v>
      </c>
      <c r="E110">
        <v>863</v>
      </c>
      <c r="F110">
        <v>365</v>
      </c>
      <c r="G110" t="s">
        <v>94</v>
      </c>
      <c r="H110">
        <v>2490</v>
      </c>
      <c r="I110">
        <v>4315</v>
      </c>
    </row>
    <row r="111" spans="1:9" x14ac:dyDescent="0.3">
      <c r="A111" t="s">
        <v>141</v>
      </c>
      <c r="B111" t="s">
        <v>22</v>
      </c>
      <c r="C111" t="s">
        <v>15</v>
      </c>
      <c r="D111">
        <v>4</v>
      </c>
      <c r="E111">
        <v>1256</v>
      </c>
      <c r="F111">
        <v>642</v>
      </c>
      <c r="G111" t="s">
        <v>122</v>
      </c>
      <c r="H111">
        <v>2456</v>
      </c>
      <c r="I111">
        <v>5024</v>
      </c>
    </row>
    <row r="112" spans="1:9" x14ac:dyDescent="0.3">
      <c r="A112" t="s">
        <v>35</v>
      </c>
      <c r="B112" t="s">
        <v>25</v>
      </c>
      <c r="C112" t="s">
        <v>26</v>
      </c>
      <c r="D112">
        <v>5</v>
      </c>
      <c r="E112">
        <v>914</v>
      </c>
      <c r="F112">
        <v>370</v>
      </c>
      <c r="G112" t="s">
        <v>127</v>
      </c>
      <c r="H112">
        <v>2720</v>
      </c>
      <c r="I112">
        <v>4570</v>
      </c>
    </row>
    <row r="113" spans="1:9" x14ac:dyDescent="0.3">
      <c r="A113" t="s">
        <v>142</v>
      </c>
      <c r="B113" t="s">
        <v>32</v>
      </c>
      <c r="C113" t="s">
        <v>11</v>
      </c>
      <c r="D113">
        <v>4</v>
      </c>
      <c r="E113">
        <v>1766</v>
      </c>
      <c r="F113">
        <v>846</v>
      </c>
      <c r="G113" t="s">
        <v>46</v>
      </c>
      <c r="H113">
        <v>3680</v>
      </c>
      <c r="I113">
        <v>7064</v>
      </c>
    </row>
    <row r="114" spans="1:9" x14ac:dyDescent="0.3">
      <c r="A114" t="s">
        <v>42</v>
      </c>
      <c r="B114" t="s">
        <v>32</v>
      </c>
      <c r="C114" t="s">
        <v>11</v>
      </c>
      <c r="D114">
        <v>3</v>
      </c>
      <c r="E114">
        <v>1896</v>
      </c>
      <c r="F114">
        <v>849</v>
      </c>
      <c r="G114" t="s">
        <v>140</v>
      </c>
      <c r="H114">
        <v>3141</v>
      </c>
      <c r="I114">
        <v>5688</v>
      </c>
    </row>
    <row r="115" spans="1:9" x14ac:dyDescent="0.3">
      <c r="A115" t="s">
        <v>143</v>
      </c>
      <c r="B115" t="s">
        <v>25</v>
      </c>
      <c r="C115" t="s">
        <v>26</v>
      </c>
      <c r="D115">
        <v>2</v>
      </c>
      <c r="E115">
        <v>870</v>
      </c>
      <c r="F115">
        <v>406</v>
      </c>
      <c r="G115" t="s">
        <v>128</v>
      </c>
      <c r="H115">
        <v>928</v>
      </c>
      <c r="I115">
        <v>1740</v>
      </c>
    </row>
    <row r="116" spans="1:9" x14ac:dyDescent="0.3">
      <c r="A116" t="s">
        <v>144</v>
      </c>
      <c r="B116" t="s">
        <v>38</v>
      </c>
      <c r="C116" t="s">
        <v>15</v>
      </c>
      <c r="D116">
        <v>2</v>
      </c>
      <c r="E116">
        <v>269</v>
      </c>
      <c r="F116">
        <v>92</v>
      </c>
      <c r="G116" t="s">
        <v>68</v>
      </c>
      <c r="H116">
        <v>354</v>
      </c>
      <c r="I116">
        <v>538</v>
      </c>
    </row>
    <row r="117" spans="1:9" x14ac:dyDescent="0.3">
      <c r="A117" t="s">
        <v>40</v>
      </c>
      <c r="B117" t="s">
        <v>22</v>
      </c>
      <c r="C117" t="s">
        <v>15</v>
      </c>
      <c r="D117">
        <v>2</v>
      </c>
      <c r="E117">
        <v>1138</v>
      </c>
      <c r="F117">
        <v>579</v>
      </c>
      <c r="G117" t="s">
        <v>58</v>
      </c>
      <c r="H117">
        <v>1118</v>
      </c>
      <c r="I117">
        <v>2276</v>
      </c>
    </row>
    <row r="118" spans="1:9" x14ac:dyDescent="0.3">
      <c r="A118" t="s">
        <v>145</v>
      </c>
      <c r="B118" t="s">
        <v>38</v>
      </c>
      <c r="C118" t="s">
        <v>15</v>
      </c>
      <c r="D118">
        <v>2</v>
      </c>
      <c r="E118">
        <v>216</v>
      </c>
      <c r="F118">
        <v>103</v>
      </c>
      <c r="G118" t="s">
        <v>146</v>
      </c>
      <c r="H118">
        <v>226</v>
      </c>
      <c r="I118">
        <v>432</v>
      </c>
    </row>
    <row r="119" spans="1:9" x14ac:dyDescent="0.3">
      <c r="A119" t="s">
        <v>67</v>
      </c>
      <c r="B119" t="s">
        <v>29</v>
      </c>
      <c r="C119" t="s">
        <v>26</v>
      </c>
      <c r="D119">
        <v>4</v>
      </c>
      <c r="E119">
        <v>1206</v>
      </c>
      <c r="F119">
        <v>657</v>
      </c>
      <c r="G119" t="s">
        <v>134</v>
      </c>
      <c r="H119">
        <v>2196</v>
      </c>
      <c r="I119">
        <v>4824</v>
      </c>
    </row>
    <row r="120" spans="1:9" x14ac:dyDescent="0.3">
      <c r="A120" t="s">
        <v>147</v>
      </c>
      <c r="B120" t="s">
        <v>32</v>
      </c>
      <c r="C120" t="s">
        <v>11</v>
      </c>
      <c r="D120">
        <v>4</v>
      </c>
      <c r="E120">
        <v>1897</v>
      </c>
      <c r="F120">
        <v>824</v>
      </c>
      <c r="G120" t="s">
        <v>23</v>
      </c>
      <c r="H120">
        <v>4292</v>
      </c>
      <c r="I120">
        <v>7588</v>
      </c>
    </row>
    <row r="121" spans="1:9" x14ac:dyDescent="0.3">
      <c r="A121" t="s">
        <v>148</v>
      </c>
      <c r="B121" t="s">
        <v>14</v>
      </c>
      <c r="C121" t="s">
        <v>15</v>
      </c>
      <c r="D121">
        <v>5</v>
      </c>
      <c r="E121">
        <v>497</v>
      </c>
      <c r="F121">
        <v>311</v>
      </c>
      <c r="G121" t="s">
        <v>79</v>
      </c>
      <c r="H121">
        <v>930</v>
      </c>
      <c r="I121">
        <v>2485</v>
      </c>
    </row>
    <row r="122" spans="1:9" x14ac:dyDescent="0.3">
      <c r="A122" t="s">
        <v>149</v>
      </c>
      <c r="B122" t="s">
        <v>29</v>
      </c>
      <c r="C122" t="s">
        <v>26</v>
      </c>
      <c r="D122">
        <v>4</v>
      </c>
      <c r="E122">
        <v>1207</v>
      </c>
      <c r="F122">
        <v>718</v>
      </c>
      <c r="G122" t="s">
        <v>127</v>
      </c>
      <c r="H122">
        <v>1956</v>
      </c>
      <c r="I122">
        <v>4828</v>
      </c>
    </row>
    <row r="123" spans="1:9" x14ac:dyDescent="0.3">
      <c r="A123" t="s">
        <v>67</v>
      </c>
      <c r="B123" t="s">
        <v>38</v>
      </c>
      <c r="C123" t="s">
        <v>15</v>
      </c>
      <c r="D123">
        <v>5</v>
      </c>
      <c r="E123">
        <v>256</v>
      </c>
      <c r="F123">
        <v>112</v>
      </c>
      <c r="G123" t="s">
        <v>120</v>
      </c>
      <c r="H123">
        <v>720</v>
      </c>
      <c r="I123">
        <v>1280</v>
      </c>
    </row>
    <row r="124" spans="1:9" x14ac:dyDescent="0.3">
      <c r="A124" t="s">
        <v>124</v>
      </c>
      <c r="B124" t="s">
        <v>29</v>
      </c>
      <c r="C124" t="s">
        <v>26</v>
      </c>
      <c r="D124">
        <v>4</v>
      </c>
      <c r="E124">
        <v>1107</v>
      </c>
      <c r="F124">
        <v>699</v>
      </c>
      <c r="G124" t="s">
        <v>150</v>
      </c>
      <c r="H124">
        <v>1632</v>
      </c>
      <c r="I124">
        <v>4428</v>
      </c>
    </row>
    <row r="125" spans="1:9" x14ac:dyDescent="0.3">
      <c r="A125" t="s">
        <v>88</v>
      </c>
      <c r="B125" t="s">
        <v>38</v>
      </c>
      <c r="C125" t="s">
        <v>15</v>
      </c>
      <c r="D125">
        <v>4</v>
      </c>
      <c r="E125">
        <v>385</v>
      </c>
      <c r="F125">
        <v>71</v>
      </c>
      <c r="G125" t="s">
        <v>94</v>
      </c>
      <c r="H125">
        <v>1256</v>
      </c>
      <c r="I125">
        <v>1540</v>
      </c>
    </row>
    <row r="126" spans="1:9" x14ac:dyDescent="0.3">
      <c r="A126" t="s">
        <v>151</v>
      </c>
      <c r="B126" t="s">
        <v>10</v>
      </c>
      <c r="C126" t="s">
        <v>11</v>
      </c>
      <c r="D126">
        <v>5</v>
      </c>
      <c r="E126">
        <v>1406</v>
      </c>
      <c r="F126">
        <v>900</v>
      </c>
      <c r="G126" t="s">
        <v>98</v>
      </c>
      <c r="H126">
        <v>2530</v>
      </c>
      <c r="I126">
        <v>7030</v>
      </c>
    </row>
    <row r="127" spans="1:9" x14ac:dyDescent="0.3">
      <c r="A127" t="s">
        <v>103</v>
      </c>
      <c r="B127" t="s">
        <v>22</v>
      </c>
      <c r="C127" t="s">
        <v>15</v>
      </c>
      <c r="D127">
        <v>1</v>
      </c>
      <c r="E127">
        <v>1121</v>
      </c>
      <c r="F127">
        <v>632</v>
      </c>
      <c r="G127" t="s">
        <v>152</v>
      </c>
      <c r="H127">
        <v>489</v>
      </c>
      <c r="I127">
        <v>1121</v>
      </c>
    </row>
    <row r="128" spans="1:9" x14ac:dyDescent="0.3">
      <c r="A128" t="s">
        <v>92</v>
      </c>
      <c r="B128" t="s">
        <v>10</v>
      </c>
      <c r="C128" t="s">
        <v>11</v>
      </c>
      <c r="D128">
        <v>4</v>
      </c>
      <c r="E128">
        <v>1446</v>
      </c>
      <c r="F128">
        <v>856</v>
      </c>
      <c r="G128" t="s">
        <v>73</v>
      </c>
      <c r="H128">
        <v>2360</v>
      </c>
      <c r="I128">
        <v>5784</v>
      </c>
    </row>
    <row r="129" spans="1:9" x14ac:dyDescent="0.3">
      <c r="A129" t="s">
        <v>130</v>
      </c>
      <c r="B129" t="s">
        <v>25</v>
      </c>
      <c r="C129" t="s">
        <v>26</v>
      </c>
      <c r="D129">
        <v>2</v>
      </c>
      <c r="E129">
        <v>916</v>
      </c>
      <c r="F129">
        <v>391</v>
      </c>
      <c r="G129" t="s">
        <v>150</v>
      </c>
      <c r="H129">
        <v>1050</v>
      </c>
      <c r="I129">
        <v>1832</v>
      </c>
    </row>
    <row r="130" spans="1:9" x14ac:dyDescent="0.3">
      <c r="A130" t="s">
        <v>107</v>
      </c>
      <c r="B130" t="s">
        <v>32</v>
      </c>
      <c r="C130" t="s">
        <v>11</v>
      </c>
      <c r="D130">
        <v>4</v>
      </c>
      <c r="E130">
        <v>1771</v>
      </c>
      <c r="F130">
        <v>846</v>
      </c>
      <c r="G130" t="s">
        <v>146</v>
      </c>
      <c r="H130">
        <v>3700</v>
      </c>
      <c r="I130">
        <v>7084</v>
      </c>
    </row>
    <row r="131" spans="1:9" x14ac:dyDescent="0.3">
      <c r="A131" t="s">
        <v>35</v>
      </c>
      <c r="B131" t="s">
        <v>29</v>
      </c>
      <c r="C131" t="s">
        <v>26</v>
      </c>
      <c r="D131">
        <v>1</v>
      </c>
      <c r="E131">
        <v>1220</v>
      </c>
      <c r="F131">
        <v>652</v>
      </c>
      <c r="G131" t="s">
        <v>127</v>
      </c>
      <c r="H131">
        <v>568</v>
      </c>
      <c r="I131">
        <v>1220</v>
      </c>
    </row>
    <row r="132" spans="1:9" x14ac:dyDescent="0.3">
      <c r="A132" t="s">
        <v>55</v>
      </c>
      <c r="B132" t="s">
        <v>22</v>
      </c>
      <c r="C132" t="s">
        <v>15</v>
      </c>
      <c r="D132">
        <v>3</v>
      </c>
      <c r="E132">
        <v>1157</v>
      </c>
      <c r="F132">
        <v>633</v>
      </c>
      <c r="G132" t="s">
        <v>128</v>
      </c>
      <c r="H132">
        <v>1572</v>
      </c>
      <c r="I132">
        <v>3471</v>
      </c>
    </row>
    <row r="133" spans="1:9" x14ac:dyDescent="0.3">
      <c r="A133" t="s">
        <v>111</v>
      </c>
      <c r="B133" t="s">
        <v>32</v>
      </c>
      <c r="C133" t="s">
        <v>11</v>
      </c>
      <c r="D133">
        <v>1</v>
      </c>
      <c r="E133">
        <v>1893</v>
      </c>
      <c r="F133">
        <v>753</v>
      </c>
      <c r="G133" t="s">
        <v>46</v>
      </c>
      <c r="H133">
        <v>1140</v>
      </c>
      <c r="I133">
        <v>1893</v>
      </c>
    </row>
    <row r="134" spans="1:9" x14ac:dyDescent="0.3">
      <c r="A134" t="s">
        <v>153</v>
      </c>
      <c r="B134" t="s">
        <v>10</v>
      </c>
      <c r="C134" t="s">
        <v>11</v>
      </c>
      <c r="D134">
        <v>1</v>
      </c>
      <c r="E134">
        <v>1559</v>
      </c>
      <c r="F134">
        <v>869</v>
      </c>
      <c r="G134" t="s">
        <v>46</v>
      </c>
      <c r="H134">
        <v>690</v>
      </c>
      <c r="I134">
        <v>1559</v>
      </c>
    </row>
    <row r="135" spans="1:9" x14ac:dyDescent="0.3">
      <c r="A135" t="s">
        <v>142</v>
      </c>
      <c r="B135" t="s">
        <v>10</v>
      </c>
      <c r="C135" t="s">
        <v>11</v>
      </c>
      <c r="D135">
        <v>1</v>
      </c>
      <c r="E135">
        <v>1544</v>
      </c>
      <c r="F135">
        <v>877</v>
      </c>
      <c r="G135" t="s">
        <v>94</v>
      </c>
      <c r="H135">
        <v>667</v>
      </c>
      <c r="I135">
        <v>1544</v>
      </c>
    </row>
    <row r="136" spans="1:9" x14ac:dyDescent="0.3">
      <c r="A136" t="s">
        <v>125</v>
      </c>
      <c r="B136" t="s">
        <v>38</v>
      </c>
      <c r="C136" t="s">
        <v>15</v>
      </c>
      <c r="D136">
        <v>3</v>
      </c>
      <c r="E136">
        <v>242</v>
      </c>
      <c r="F136">
        <v>127</v>
      </c>
      <c r="G136" t="s">
        <v>101</v>
      </c>
      <c r="H136">
        <v>345</v>
      </c>
      <c r="I136">
        <v>726</v>
      </c>
    </row>
    <row r="137" spans="1:9" x14ac:dyDescent="0.3">
      <c r="A137" t="s">
        <v>19</v>
      </c>
      <c r="B137" t="s">
        <v>38</v>
      </c>
      <c r="C137" t="s">
        <v>15</v>
      </c>
      <c r="D137">
        <v>1</v>
      </c>
      <c r="E137">
        <v>399</v>
      </c>
      <c r="F137">
        <v>70</v>
      </c>
      <c r="G137" t="s">
        <v>133</v>
      </c>
      <c r="H137">
        <v>329</v>
      </c>
      <c r="I137">
        <v>399</v>
      </c>
    </row>
    <row r="138" spans="1:9" x14ac:dyDescent="0.3">
      <c r="A138" t="s">
        <v>99</v>
      </c>
      <c r="B138" t="s">
        <v>14</v>
      </c>
      <c r="C138" t="s">
        <v>15</v>
      </c>
      <c r="D138">
        <v>1</v>
      </c>
      <c r="E138">
        <v>479</v>
      </c>
      <c r="F138">
        <v>323</v>
      </c>
      <c r="G138" t="s">
        <v>131</v>
      </c>
      <c r="H138">
        <v>156</v>
      </c>
      <c r="I138">
        <v>479</v>
      </c>
    </row>
    <row r="139" spans="1:9" x14ac:dyDescent="0.3">
      <c r="A139" t="s">
        <v>154</v>
      </c>
      <c r="B139" t="s">
        <v>25</v>
      </c>
      <c r="C139" t="s">
        <v>26</v>
      </c>
      <c r="D139">
        <v>2</v>
      </c>
      <c r="E139">
        <v>819</v>
      </c>
      <c r="F139">
        <v>425</v>
      </c>
      <c r="G139" t="s">
        <v>23</v>
      </c>
      <c r="H139">
        <v>788</v>
      </c>
      <c r="I139">
        <v>1638</v>
      </c>
    </row>
    <row r="140" spans="1:9" x14ac:dyDescent="0.3">
      <c r="A140" t="s">
        <v>143</v>
      </c>
      <c r="B140" t="s">
        <v>32</v>
      </c>
      <c r="C140" t="s">
        <v>11</v>
      </c>
      <c r="D140">
        <v>2</v>
      </c>
      <c r="E140">
        <v>1726</v>
      </c>
      <c r="F140">
        <v>839</v>
      </c>
      <c r="G140" t="s">
        <v>39</v>
      </c>
      <c r="H140">
        <v>1774</v>
      </c>
      <c r="I140">
        <v>3452</v>
      </c>
    </row>
    <row r="141" spans="1:9" x14ac:dyDescent="0.3">
      <c r="A141" t="s">
        <v>155</v>
      </c>
      <c r="B141" t="s">
        <v>29</v>
      </c>
      <c r="C141" t="s">
        <v>26</v>
      </c>
      <c r="D141">
        <v>5</v>
      </c>
      <c r="E141">
        <v>1130</v>
      </c>
      <c r="F141">
        <v>722</v>
      </c>
      <c r="G141" t="s">
        <v>81</v>
      </c>
      <c r="H141">
        <v>2040</v>
      </c>
      <c r="I141">
        <v>5650</v>
      </c>
    </row>
    <row r="142" spans="1:9" x14ac:dyDescent="0.3">
      <c r="A142" t="s">
        <v>34</v>
      </c>
      <c r="B142" t="s">
        <v>29</v>
      </c>
      <c r="C142" t="s">
        <v>26</v>
      </c>
      <c r="D142">
        <v>4</v>
      </c>
      <c r="E142">
        <v>1269</v>
      </c>
      <c r="F142">
        <v>697</v>
      </c>
      <c r="G142" t="s">
        <v>128</v>
      </c>
      <c r="H142">
        <v>2288</v>
      </c>
      <c r="I142">
        <v>5076</v>
      </c>
    </row>
    <row r="143" spans="1:9" x14ac:dyDescent="0.3">
      <c r="A143" t="s">
        <v>156</v>
      </c>
      <c r="B143" t="s">
        <v>22</v>
      </c>
      <c r="C143" t="s">
        <v>15</v>
      </c>
      <c r="D143">
        <v>3</v>
      </c>
      <c r="E143">
        <v>1103</v>
      </c>
      <c r="F143">
        <v>603</v>
      </c>
      <c r="G143" t="s">
        <v>96</v>
      </c>
      <c r="H143">
        <v>1500</v>
      </c>
      <c r="I143">
        <v>3309</v>
      </c>
    </row>
    <row r="144" spans="1:9" x14ac:dyDescent="0.3">
      <c r="A144" t="s">
        <v>124</v>
      </c>
      <c r="B144" t="s">
        <v>14</v>
      </c>
      <c r="C144" t="s">
        <v>15</v>
      </c>
      <c r="D144">
        <v>3</v>
      </c>
      <c r="E144">
        <v>562</v>
      </c>
      <c r="F144">
        <v>308</v>
      </c>
      <c r="G144" t="s">
        <v>157</v>
      </c>
      <c r="H144">
        <v>762</v>
      </c>
      <c r="I144">
        <v>1686</v>
      </c>
    </row>
    <row r="145" spans="1:9" x14ac:dyDescent="0.3">
      <c r="A145" t="s">
        <v>124</v>
      </c>
      <c r="B145" t="s">
        <v>10</v>
      </c>
      <c r="C145" t="s">
        <v>11</v>
      </c>
      <c r="D145">
        <v>2</v>
      </c>
      <c r="E145">
        <v>1587</v>
      </c>
      <c r="F145">
        <v>916</v>
      </c>
      <c r="G145" t="s">
        <v>44</v>
      </c>
      <c r="H145">
        <v>1342</v>
      </c>
      <c r="I145">
        <v>3174</v>
      </c>
    </row>
    <row r="146" spans="1:9" x14ac:dyDescent="0.3">
      <c r="A146" t="s">
        <v>158</v>
      </c>
      <c r="B146" t="s">
        <v>29</v>
      </c>
      <c r="C146" t="s">
        <v>26</v>
      </c>
      <c r="D146">
        <v>5</v>
      </c>
      <c r="E146">
        <v>1298</v>
      </c>
      <c r="F146">
        <v>711</v>
      </c>
      <c r="G146" t="s">
        <v>94</v>
      </c>
      <c r="H146">
        <v>2935</v>
      </c>
      <c r="I146">
        <v>6490</v>
      </c>
    </row>
    <row r="147" spans="1:9" x14ac:dyDescent="0.3">
      <c r="A147" t="s">
        <v>50</v>
      </c>
      <c r="B147" t="s">
        <v>25</v>
      </c>
      <c r="C147" t="s">
        <v>26</v>
      </c>
      <c r="D147">
        <v>5</v>
      </c>
      <c r="E147">
        <v>868</v>
      </c>
      <c r="F147">
        <v>1038</v>
      </c>
      <c r="G147" t="s">
        <v>46</v>
      </c>
      <c r="H147">
        <v>-850</v>
      </c>
      <c r="I147">
        <v>4340</v>
      </c>
    </row>
    <row r="148" spans="1:9" x14ac:dyDescent="0.3">
      <c r="A148" t="s">
        <v>112</v>
      </c>
      <c r="B148" t="s">
        <v>32</v>
      </c>
      <c r="C148" t="s">
        <v>11</v>
      </c>
      <c r="D148">
        <v>1</v>
      </c>
      <c r="E148">
        <v>1771</v>
      </c>
      <c r="F148">
        <v>807</v>
      </c>
      <c r="G148" t="s">
        <v>46</v>
      </c>
      <c r="H148">
        <v>964</v>
      </c>
      <c r="I148">
        <v>1771</v>
      </c>
    </row>
    <row r="149" spans="1:9" x14ac:dyDescent="0.3">
      <c r="A149" t="s">
        <v>47</v>
      </c>
      <c r="B149" t="s">
        <v>32</v>
      </c>
      <c r="C149" t="s">
        <v>11</v>
      </c>
      <c r="D149">
        <v>5</v>
      </c>
      <c r="E149">
        <v>1856</v>
      </c>
      <c r="F149">
        <v>835</v>
      </c>
      <c r="G149" t="s">
        <v>58</v>
      </c>
      <c r="H149">
        <v>5105</v>
      </c>
      <c r="I149">
        <v>9280</v>
      </c>
    </row>
    <row r="150" spans="1:9" x14ac:dyDescent="0.3">
      <c r="A150" t="s">
        <v>121</v>
      </c>
      <c r="B150" t="s">
        <v>29</v>
      </c>
      <c r="C150" t="s">
        <v>26</v>
      </c>
      <c r="D150">
        <v>4</v>
      </c>
      <c r="E150">
        <v>1183</v>
      </c>
      <c r="F150">
        <v>673</v>
      </c>
      <c r="G150" t="s">
        <v>96</v>
      </c>
      <c r="H150">
        <v>2040</v>
      </c>
      <c r="I150">
        <v>4732</v>
      </c>
    </row>
    <row r="151" spans="1:9" x14ac:dyDescent="0.3">
      <c r="A151" t="s">
        <v>87</v>
      </c>
      <c r="B151" t="s">
        <v>10</v>
      </c>
      <c r="C151" t="s">
        <v>11</v>
      </c>
      <c r="D151">
        <v>3</v>
      </c>
      <c r="E151">
        <v>1487</v>
      </c>
      <c r="F151">
        <v>885</v>
      </c>
      <c r="G151" t="s">
        <v>101</v>
      </c>
      <c r="H151">
        <v>1806</v>
      </c>
      <c r="I151">
        <v>4461</v>
      </c>
    </row>
    <row r="152" spans="1:9" x14ac:dyDescent="0.3">
      <c r="A152" t="s">
        <v>107</v>
      </c>
      <c r="B152" t="s">
        <v>38</v>
      </c>
      <c r="C152" t="s">
        <v>15</v>
      </c>
      <c r="D152">
        <v>3</v>
      </c>
      <c r="E152">
        <v>342</v>
      </c>
      <c r="F152">
        <v>51</v>
      </c>
      <c r="G152" t="s">
        <v>140</v>
      </c>
      <c r="H152">
        <v>873</v>
      </c>
      <c r="I152">
        <v>1026</v>
      </c>
    </row>
    <row r="153" spans="1:9" x14ac:dyDescent="0.3">
      <c r="A153" t="s">
        <v>40</v>
      </c>
      <c r="B153" t="s">
        <v>10</v>
      </c>
      <c r="C153" t="s">
        <v>11</v>
      </c>
      <c r="D153">
        <v>2</v>
      </c>
      <c r="E153">
        <v>1584</v>
      </c>
      <c r="F153">
        <v>902</v>
      </c>
      <c r="G153" t="s">
        <v>96</v>
      </c>
      <c r="H153">
        <v>1364</v>
      </c>
      <c r="I153">
        <v>3168</v>
      </c>
    </row>
    <row r="154" spans="1:9" x14ac:dyDescent="0.3">
      <c r="A154" t="s">
        <v>159</v>
      </c>
      <c r="B154" t="s">
        <v>22</v>
      </c>
      <c r="C154" t="s">
        <v>15</v>
      </c>
      <c r="D154">
        <v>2</v>
      </c>
      <c r="E154">
        <v>1276</v>
      </c>
      <c r="F154">
        <v>610</v>
      </c>
      <c r="G154" t="s">
        <v>44</v>
      </c>
      <c r="H154">
        <v>1332</v>
      </c>
      <c r="I154">
        <v>2552</v>
      </c>
    </row>
    <row r="155" spans="1:9" x14ac:dyDescent="0.3">
      <c r="A155" t="s">
        <v>82</v>
      </c>
      <c r="B155" t="s">
        <v>38</v>
      </c>
      <c r="C155" t="s">
        <v>15</v>
      </c>
      <c r="D155">
        <v>4</v>
      </c>
      <c r="E155">
        <v>204</v>
      </c>
      <c r="F155">
        <v>61</v>
      </c>
      <c r="G155" t="s">
        <v>108</v>
      </c>
      <c r="H155">
        <v>572</v>
      </c>
      <c r="I155">
        <v>816</v>
      </c>
    </row>
    <row r="156" spans="1:9" x14ac:dyDescent="0.3">
      <c r="A156" t="s">
        <v>160</v>
      </c>
      <c r="B156" t="s">
        <v>10</v>
      </c>
      <c r="C156" t="s">
        <v>11</v>
      </c>
      <c r="D156">
        <v>2</v>
      </c>
      <c r="E156">
        <v>1478</v>
      </c>
      <c r="F156">
        <v>934</v>
      </c>
      <c r="G156" t="s">
        <v>98</v>
      </c>
      <c r="H156">
        <v>1088</v>
      </c>
      <c r="I156">
        <v>2956</v>
      </c>
    </row>
    <row r="157" spans="1:9" x14ac:dyDescent="0.3">
      <c r="A157" t="s">
        <v>142</v>
      </c>
      <c r="B157" t="s">
        <v>29</v>
      </c>
      <c r="C157" t="s">
        <v>26</v>
      </c>
      <c r="D157">
        <v>5</v>
      </c>
      <c r="E157">
        <v>1235</v>
      </c>
      <c r="F157">
        <v>694</v>
      </c>
      <c r="G157" t="s">
        <v>152</v>
      </c>
      <c r="H157">
        <v>2705</v>
      </c>
      <c r="I157">
        <v>6175</v>
      </c>
    </row>
    <row r="158" spans="1:9" x14ac:dyDescent="0.3">
      <c r="A158" t="s">
        <v>78</v>
      </c>
      <c r="B158" t="s">
        <v>38</v>
      </c>
      <c r="C158" t="s">
        <v>15</v>
      </c>
      <c r="D158">
        <v>3</v>
      </c>
      <c r="E158">
        <v>290</v>
      </c>
      <c r="F158">
        <v>139</v>
      </c>
      <c r="G158" t="s">
        <v>94</v>
      </c>
      <c r="H158">
        <v>453</v>
      </c>
      <c r="I158">
        <v>870</v>
      </c>
    </row>
    <row r="159" spans="1:9" x14ac:dyDescent="0.3">
      <c r="A159" t="s">
        <v>161</v>
      </c>
      <c r="B159" t="s">
        <v>29</v>
      </c>
      <c r="C159" t="s">
        <v>26</v>
      </c>
      <c r="D159">
        <v>3</v>
      </c>
      <c r="E159">
        <v>1159</v>
      </c>
      <c r="F159">
        <v>665</v>
      </c>
      <c r="G159" t="s">
        <v>33</v>
      </c>
      <c r="H159">
        <v>1482</v>
      </c>
      <c r="I159">
        <v>3477</v>
      </c>
    </row>
    <row r="160" spans="1:9" x14ac:dyDescent="0.3">
      <c r="A160" t="s">
        <v>141</v>
      </c>
      <c r="B160" t="s">
        <v>10</v>
      </c>
      <c r="C160" t="s">
        <v>11</v>
      </c>
      <c r="D160">
        <v>1</v>
      </c>
      <c r="E160">
        <v>1590</v>
      </c>
      <c r="F160">
        <v>918</v>
      </c>
      <c r="G160" t="s">
        <v>27</v>
      </c>
      <c r="H160">
        <v>672</v>
      </c>
      <c r="I160">
        <v>1590</v>
      </c>
    </row>
    <row r="161" spans="1:9" x14ac:dyDescent="0.3">
      <c r="A161" t="s">
        <v>162</v>
      </c>
      <c r="B161" t="s">
        <v>38</v>
      </c>
      <c r="C161" t="s">
        <v>15</v>
      </c>
      <c r="D161">
        <v>2</v>
      </c>
      <c r="E161">
        <v>255</v>
      </c>
      <c r="F161">
        <v>144</v>
      </c>
      <c r="G161" t="s">
        <v>84</v>
      </c>
      <c r="H161">
        <v>222</v>
      </c>
      <c r="I161">
        <v>510</v>
      </c>
    </row>
    <row r="162" spans="1:9" x14ac:dyDescent="0.3">
      <c r="A162" t="s">
        <v>163</v>
      </c>
      <c r="B162" t="s">
        <v>29</v>
      </c>
      <c r="C162" t="s">
        <v>26</v>
      </c>
      <c r="D162">
        <v>5</v>
      </c>
      <c r="E162">
        <v>1294</v>
      </c>
      <c r="F162">
        <v>717</v>
      </c>
      <c r="G162" t="s">
        <v>101</v>
      </c>
      <c r="H162">
        <v>2885</v>
      </c>
      <c r="I162">
        <v>6470</v>
      </c>
    </row>
    <row r="163" spans="1:9" x14ac:dyDescent="0.3">
      <c r="A163" t="s">
        <v>164</v>
      </c>
      <c r="B163" t="s">
        <v>29</v>
      </c>
      <c r="C163" t="s">
        <v>26</v>
      </c>
      <c r="D163">
        <v>2</v>
      </c>
      <c r="E163">
        <v>1175</v>
      </c>
      <c r="F163">
        <v>679</v>
      </c>
      <c r="G163" t="s">
        <v>165</v>
      </c>
      <c r="H163">
        <v>992</v>
      </c>
      <c r="I163">
        <v>2350</v>
      </c>
    </row>
    <row r="164" spans="1:9" x14ac:dyDescent="0.3">
      <c r="A164" t="s">
        <v>137</v>
      </c>
      <c r="B164" t="s">
        <v>29</v>
      </c>
      <c r="C164" t="s">
        <v>26</v>
      </c>
      <c r="D164">
        <v>1</v>
      </c>
      <c r="E164">
        <v>1241</v>
      </c>
      <c r="F164">
        <v>687</v>
      </c>
      <c r="G164" t="s">
        <v>23</v>
      </c>
      <c r="H164">
        <v>554</v>
      </c>
      <c r="I164">
        <v>1241</v>
      </c>
    </row>
    <row r="165" spans="1:9" x14ac:dyDescent="0.3">
      <c r="A165" t="s">
        <v>42</v>
      </c>
      <c r="B165" t="s">
        <v>10</v>
      </c>
      <c r="C165" t="s">
        <v>11</v>
      </c>
      <c r="D165">
        <v>4</v>
      </c>
      <c r="E165">
        <v>1426</v>
      </c>
      <c r="F165">
        <v>851</v>
      </c>
      <c r="G165" t="s">
        <v>102</v>
      </c>
      <c r="H165">
        <v>2300</v>
      </c>
      <c r="I165">
        <v>5704</v>
      </c>
    </row>
    <row r="166" spans="1:9" x14ac:dyDescent="0.3">
      <c r="A166" t="s">
        <v>142</v>
      </c>
      <c r="B166" t="s">
        <v>29</v>
      </c>
      <c r="C166" t="s">
        <v>26</v>
      </c>
      <c r="D166">
        <v>4</v>
      </c>
      <c r="E166">
        <v>1212</v>
      </c>
      <c r="F166">
        <v>693</v>
      </c>
      <c r="G166" t="s">
        <v>64</v>
      </c>
      <c r="H166">
        <v>2076</v>
      </c>
      <c r="I166">
        <v>4848</v>
      </c>
    </row>
    <row r="167" spans="1:9" x14ac:dyDescent="0.3">
      <c r="A167" t="s">
        <v>125</v>
      </c>
      <c r="B167" t="s">
        <v>14</v>
      </c>
      <c r="C167" t="s">
        <v>15</v>
      </c>
      <c r="D167">
        <v>4</v>
      </c>
      <c r="E167">
        <v>429</v>
      </c>
      <c r="F167">
        <v>258</v>
      </c>
      <c r="G167" t="s">
        <v>54</v>
      </c>
      <c r="H167">
        <v>684</v>
      </c>
      <c r="I167">
        <v>1716</v>
      </c>
    </row>
    <row r="168" spans="1:9" x14ac:dyDescent="0.3">
      <c r="A168" t="s">
        <v>166</v>
      </c>
      <c r="B168" t="s">
        <v>25</v>
      </c>
      <c r="C168" t="s">
        <v>26</v>
      </c>
      <c r="D168">
        <v>5</v>
      </c>
      <c r="E168">
        <v>961</v>
      </c>
      <c r="F168">
        <v>437</v>
      </c>
      <c r="G168" t="s">
        <v>49</v>
      </c>
      <c r="H168">
        <v>2620</v>
      </c>
      <c r="I168">
        <v>4805</v>
      </c>
    </row>
    <row r="169" spans="1:9" x14ac:dyDescent="0.3">
      <c r="A169" t="s">
        <v>145</v>
      </c>
      <c r="B169" t="s">
        <v>10</v>
      </c>
      <c r="C169" t="s">
        <v>11</v>
      </c>
      <c r="D169">
        <v>5</v>
      </c>
      <c r="E169">
        <v>1477</v>
      </c>
      <c r="F169">
        <v>860</v>
      </c>
      <c r="G169" t="s">
        <v>46</v>
      </c>
      <c r="H169">
        <v>3085</v>
      </c>
      <c r="I169">
        <v>7385</v>
      </c>
    </row>
    <row r="170" spans="1:9" x14ac:dyDescent="0.3">
      <c r="A170" t="s">
        <v>116</v>
      </c>
      <c r="B170" t="s">
        <v>14</v>
      </c>
      <c r="C170" t="s">
        <v>15</v>
      </c>
      <c r="D170">
        <v>4</v>
      </c>
      <c r="E170">
        <v>555</v>
      </c>
      <c r="F170">
        <v>326</v>
      </c>
      <c r="G170" t="s">
        <v>110</v>
      </c>
      <c r="H170">
        <v>916</v>
      </c>
      <c r="I170">
        <v>2220</v>
      </c>
    </row>
    <row r="171" spans="1:9" x14ac:dyDescent="0.3">
      <c r="A171" t="s">
        <v>167</v>
      </c>
      <c r="B171" t="s">
        <v>10</v>
      </c>
      <c r="C171" t="s">
        <v>11</v>
      </c>
      <c r="D171">
        <v>5</v>
      </c>
      <c r="E171">
        <v>1497</v>
      </c>
      <c r="F171">
        <v>907</v>
      </c>
      <c r="G171" t="s">
        <v>20</v>
      </c>
      <c r="H171">
        <v>2950</v>
      </c>
      <c r="I171">
        <v>7485</v>
      </c>
    </row>
    <row r="172" spans="1:9" x14ac:dyDescent="0.3">
      <c r="A172" t="s">
        <v>92</v>
      </c>
      <c r="B172" t="s">
        <v>29</v>
      </c>
      <c r="C172" t="s">
        <v>26</v>
      </c>
      <c r="D172">
        <v>5</v>
      </c>
      <c r="E172">
        <v>1209</v>
      </c>
      <c r="F172">
        <v>689</v>
      </c>
      <c r="G172" t="s">
        <v>102</v>
      </c>
      <c r="H172">
        <v>2600</v>
      </c>
      <c r="I172">
        <v>6045</v>
      </c>
    </row>
    <row r="173" spans="1:9" x14ac:dyDescent="0.3">
      <c r="A173" t="s">
        <v>168</v>
      </c>
      <c r="B173" t="s">
        <v>22</v>
      </c>
      <c r="C173" t="s">
        <v>15</v>
      </c>
      <c r="D173">
        <v>5</v>
      </c>
      <c r="E173">
        <v>1289</v>
      </c>
      <c r="F173">
        <v>1455</v>
      </c>
      <c r="G173" t="s">
        <v>27</v>
      </c>
      <c r="H173">
        <v>-830</v>
      </c>
      <c r="I173">
        <v>6445</v>
      </c>
    </row>
    <row r="174" spans="1:9" x14ac:dyDescent="0.3">
      <c r="A174" t="s">
        <v>35</v>
      </c>
      <c r="B174" t="s">
        <v>14</v>
      </c>
      <c r="C174" t="s">
        <v>15</v>
      </c>
      <c r="D174">
        <v>3</v>
      </c>
      <c r="E174">
        <v>549</v>
      </c>
      <c r="F174">
        <v>671</v>
      </c>
      <c r="G174" t="s">
        <v>52</v>
      </c>
      <c r="H174">
        <v>-366</v>
      </c>
      <c r="I174">
        <v>1647</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08A2-7DCB-499F-B358-BFAAB2D2354C}">
  <dimension ref="A3:K11"/>
  <sheetViews>
    <sheetView zoomScale="70" workbookViewId="0">
      <selection activeCell="M19" sqref="M19"/>
    </sheetView>
  </sheetViews>
  <sheetFormatPr defaultRowHeight="14.4" x14ac:dyDescent="0.3"/>
  <cols>
    <col min="1" max="1" width="13.109375" bestFit="1" customWidth="1"/>
    <col min="2" max="2" width="15.5546875" bestFit="1" customWidth="1"/>
    <col min="4" max="4" width="13.109375" bestFit="1" customWidth="1"/>
    <col min="5" max="5" width="12.6640625" bestFit="1" customWidth="1"/>
    <col min="6" max="6" width="12.109375" bestFit="1" customWidth="1"/>
    <col min="7" max="7" width="13.109375" bestFit="1" customWidth="1"/>
    <col min="8" max="8" width="12.6640625" bestFit="1" customWidth="1"/>
    <col min="10" max="10" width="13.109375" bestFit="1" customWidth="1"/>
    <col min="11" max="11" width="15.5546875" bestFit="1" customWidth="1"/>
  </cols>
  <sheetData>
    <row r="3" spans="1:11" x14ac:dyDescent="0.3">
      <c r="A3" s="1" t="s">
        <v>169</v>
      </c>
      <c r="B3" t="s">
        <v>171</v>
      </c>
      <c r="D3" s="1" t="s">
        <v>169</v>
      </c>
      <c r="E3" t="s">
        <v>172</v>
      </c>
      <c r="G3" s="1" t="s">
        <v>169</v>
      </c>
      <c r="H3" t="s">
        <v>172</v>
      </c>
      <c r="J3" s="1" t="s">
        <v>169</v>
      </c>
      <c r="K3" t="s">
        <v>176</v>
      </c>
    </row>
    <row r="4" spans="1:11" x14ac:dyDescent="0.3">
      <c r="A4" s="2" t="s">
        <v>25</v>
      </c>
      <c r="B4" s="7">
        <v>71670</v>
      </c>
      <c r="D4" s="2" t="s">
        <v>25</v>
      </c>
      <c r="E4" s="7">
        <v>37199</v>
      </c>
      <c r="G4" s="2" t="s">
        <v>26</v>
      </c>
      <c r="H4" s="7">
        <v>84897</v>
      </c>
      <c r="J4" s="2" t="s">
        <v>25</v>
      </c>
      <c r="K4" s="8">
        <v>79</v>
      </c>
    </row>
    <row r="5" spans="1:11" x14ac:dyDescent="0.3">
      <c r="A5" s="2" t="s">
        <v>38</v>
      </c>
      <c r="B5" s="7">
        <v>18845</v>
      </c>
      <c r="D5" s="2" t="s">
        <v>38</v>
      </c>
      <c r="E5" s="7">
        <v>12728</v>
      </c>
      <c r="G5" s="2" t="s">
        <v>15</v>
      </c>
      <c r="H5" s="7">
        <v>53978</v>
      </c>
      <c r="J5" s="2" t="s">
        <v>38</v>
      </c>
      <c r="K5" s="8">
        <v>59</v>
      </c>
    </row>
    <row r="6" spans="1:11" x14ac:dyDescent="0.3">
      <c r="A6" s="2" t="s">
        <v>22</v>
      </c>
      <c r="B6" s="7">
        <v>68136</v>
      </c>
      <c r="D6" s="2" t="s">
        <v>22</v>
      </c>
      <c r="E6" s="7">
        <v>27894</v>
      </c>
      <c r="G6" s="2" t="s">
        <v>11</v>
      </c>
      <c r="H6" s="7">
        <v>126390</v>
      </c>
      <c r="J6" s="2" t="s">
        <v>22</v>
      </c>
      <c r="K6" s="8">
        <v>56</v>
      </c>
    </row>
    <row r="7" spans="1:11" x14ac:dyDescent="0.3">
      <c r="A7" s="2" t="s">
        <v>10</v>
      </c>
      <c r="B7" s="7">
        <v>148015</v>
      </c>
      <c r="D7" s="2" t="s">
        <v>10</v>
      </c>
      <c r="E7" s="7">
        <v>59706</v>
      </c>
      <c r="G7" s="2" t="s">
        <v>170</v>
      </c>
      <c r="H7" s="7">
        <v>265265</v>
      </c>
      <c r="J7" s="2" t="s">
        <v>10</v>
      </c>
      <c r="K7" s="8">
        <v>99</v>
      </c>
    </row>
    <row r="8" spans="1:11" x14ac:dyDescent="0.3">
      <c r="A8" s="2" t="s">
        <v>32</v>
      </c>
      <c r="B8" s="7">
        <v>120991</v>
      </c>
      <c r="D8" s="2" t="s">
        <v>32</v>
      </c>
      <c r="E8" s="7">
        <v>66684</v>
      </c>
      <c r="J8" s="2" t="s">
        <v>32</v>
      </c>
      <c r="K8" s="8">
        <v>67</v>
      </c>
    </row>
    <row r="9" spans="1:11" x14ac:dyDescent="0.3">
      <c r="A9" s="2" t="s">
        <v>14</v>
      </c>
      <c r="B9" s="7">
        <v>35505</v>
      </c>
      <c r="D9" s="2" t="s">
        <v>14</v>
      </c>
      <c r="E9" s="7">
        <v>13356</v>
      </c>
      <c r="J9" s="2" t="s">
        <v>14</v>
      </c>
      <c r="K9" s="8">
        <v>71</v>
      </c>
    </row>
    <row r="10" spans="1:11" x14ac:dyDescent="0.3">
      <c r="A10" s="2" t="s">
        <v>29</v>
      </c>
      <c r="B10" s="7">
        <v>112534</v>
      </c>
      <c r="D10" s="2" t="s">
        <v>29</v>
      </c>
      <c r="E10" s="7">
        <v>47698</v>
      </c>
      <c r="J10" s="2" t="s">
        <v>29</v>
      </c>
      <c r="K10" s="8">
        <v>93</v>
      </c>
    </row>
    <row r="11" spans="1:11" x14ac:dyDescent="0.3">
      <c r="A11" s="2" t="s">
        <v>170</v>
      </c>
      <c r="B11" s="7">
        <v>575696</v>
      </c>
      <c r="D11" s="2" t="s">
        <v>170</v>
      </c>
      <c r="E11" s="7">
        <v>265265</v>
      </c>
      <c r="J11" s="2" t="s">
        <v>170</v>
      </c>
      <c r="K11" s="8">
        <v>524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26654-0A07-41BB-AAB5-6754732B2D54}">
  <dimension ref="A3:B104"/>
  <sheetViews>
    <sheetView topLeftCell="A2" workbookViewId="0">
      <selection activeCell="J27" sqref="J27"/>
    </sheetView>
  </sheetViews>
  <sheetFormatPr defaultRowHeight="14.4" x14ac:dyDescent="0.3"/>
  <cols>
    <col min="1" max="1" width="12.5546875" bestFit="1" customWidth="1"/>
    <col min="2" max="2" width="14.88671875" bestFit="1" customWidth="1"/>
  </cols>
  <sheetData>
    <row r="3" spans="1:2" x14ac:dyDescent="0.3">
      <c r="A3" s="1" t="s">
        <v>169</v>
      </c>
      <c r="B3" t="s">
        <v>171</v>
      </c>
    </row>
    <row r="4" spans="1:2" x14ac:dyDescent="0.3">
      <c r="A4" s="2" t="s">
        <v>63</v>
      </c>
      <c r="B4">
        <v>2784</v>
      </c>
    </row>
    <row r="5" spans="1:2" x14ac:dyDescent="0.3">
      <c r="A5" s="2" t="s">
        <v>76</v>
      </c>
      <c r="B5">
        <v>1745</v>
      </c>
    </row>
    <row r="6" spans="1:2" x14ac:dyDescent="0.3">
      <c r="A6" s="2" t="s">
        <v>47</v>
      </c>
      <c r="B6">
        <v>15156</v>
      </c>
    </row>
    <row r="7" spans="1:2" x14ac:dyDescent="0.3">
      <c r="A7" s="2" t="s">
        <v>80</v>
      </c>
      <c r="B7">
        <v>458</v>
      </c>
    </row>
    <row r="8" spans="1:2" x14ac:dyDescent="0.3">
      <c r="A8" s="2" t="s">
        <v>60</v>
      </c>
      <c r="B8">
        <v>1874</v>
      </c>
    </row>
    <row r="9" spans="1:2" x14ac:dyDescent="0.3">
      <c r="A9" s="2" t="s">
        <v>105</v>
      </c>
      <c r="B9">
        <v>2236</v>
      </c>
    </row>
    <row r="10" spans="1:2" x14ac:dyDescent="0.3">
      <c r="A10" s="2" t="s">
        <v>125</v>
      </c>
      <c r="B10">
        <v>4023</v>
      </c>
    </row>
    <row r="11" spans="1:2" x14ac:dyDescent="0.3">
      <c r="A11" s="2" t="s">
        <v>142</v>
      </c>
      <c r="B11">
        <v>19631</v>
      </c>
    </row>
    <row r="12" spans="1:2" x14ac:dyDescent="0.3">
      <c r="A12" s="2" t="s">
        <v>19</v>
      </c>
      <c r="B12">
        <v>7934</v>
      </c>
    </row>
    <row r="13" spans="1:2" x14ac:dyDescent="0.3">
      <c r="A13" s="2" t="s">
        <v>69</v>
      </c>
      <c r="B13">
        <v>892</v>
      </c>
    </row>
    <row r="14" spans="1:2" x14ac:dyDescent="0.3">
      <c r="A14" s="2" t="s">
        <v>113</v>
      </c>
      <c r="B14">
        <v>9125</v>
      </c>
    </row>
    <row r="15" spans="1:2" x14ac:dyDescent="0.3">
      <c r="A15" s="2" t="s">
        <v>163</v>
      </c>
      <c r="B15">
        <v>6470</v>
      </c>
    </row>
    <row r="16" spans="1:2" x14ac:dyDescent="0.3">
      <c r="A16" s="2" t="s">
        <v>121</v>
      </c>
      <c r="B16">
        <v>7736</v>
      </c>
    </row>
    <row r="17" spans="1:2" x14ac:dyDescent="0.3">
      <c r="A17" s="2" t="s">
        <v>82</v>
      </c>
      <c r="B17">
        <v>1492</v>
      </c>
    </row>
    <row r="18" spans="1:2" x14ac:dyDescent="0.3">
      <c r="A18" s="2" t="s">
        <v>75</v>
      </c>
      <c r="B18">
        <v>3764</v>
      </c>
    </row>
    <row r="19" spans="1:2" x14ac:dyDescent="0.3">
      <c r="A19" s="2" t="s">
        <v>21</v>
      </c>
      <c r="B19">
        <v>1294</v>
      </c>
    </row>
    <row r="20" spans="1:2" x14ac:dyDescent="0.3">
      <c r="A20" s="2" t="s">
        <v>51</v>
      </c>
      <c r="B20">
        <v>1456</v>
      </c>
    </row>
    <row r="21" spans="1:2" x14ac:dyDescent="0.3">
      <c r="A21" s="2" t="s">
        <v>117</v>
      </c>
      <c r="B21">
        <v>8336</v>
      </c>
    </row>
    <row r="22" spans="1:2" x14ac:dyDescent="0.3">
      <c r="A22" s="2" t="s">
        <v>137</v>
      </c>
      <c r="B22">
        <v>2283</v>
      </c>
    </row>
    <row r="23" spans="1:2" x14ac:dyDescent="0.3">
      <c r="A23" s="2" t="s">
        <v>144</v>
      </c>
      <c r="B23">
        <v>538</v>
      </c>
    </row>
    <row r="24" spans="1:2" x14ac:dyDescent="0.3">
      <c r="A24" s="2" t="s">
        <v>53</v>
      </c>
      <c r="B24">
        <v>8240</v>
      </c>
    </row>
    <row r="25" spans="1:2" x14ac:dyDescent="0.3">
      <c r="A25" s="2" t="s">
        <v>55</v>
      </c>
      <c r="B25">
        <v>9525</v>
      </c>
    </row>
    <row r="26" spans="1:2" x14ac:dyDescent="0.3">
      <c r="A26" s="2" t="s">
        <v>100</v>
      </c>
      <c r="B26">
        <v>447</v>
      </c>
    </row>
    <row r="27" spans="1:2" x14ac:dyDescent="0.3">
      <c r="A27" s="2" t="s">
        <v>168</v>
      </c>
      <c r="B27">
        <v>6445</v>
      </c>
    </row>
    <row r="28" spans="1:2" x14ac:dyDescent="0.3">
      <c r="A28" s="2" t="s">
        <v>149</v>
      </c>
      <c r="B28">
        <v>4828</v>
      </c>
    </row>
    <row r="29" spans="1:2" x14ac:dyDescent="0.3">
      <c r="A29" s="2" t="s">
        <v>159</v>
      </c>
      <c r="B29">
        <v>2552</v>
      </c>
    </row>
    <row r="30" spans="1:2" x14ac:dyDescent="0.3">
      <c r="A30" s="2" t="s">
        <v>37</v>
      </c>
      <c r="B30">
        <v>5736</v>
      </c>
    </row>
    <row r="31" spans="1:2" x14ac:dyDescent="0.3">
      <c r="A31" s="2" t="s">
        <v>161</v>
      </c>
      <c r="B31">
        <v>3477</v>
      </c>
    </row>
    <row r="32" spans="1:2" x14ac:dyDescent="0.3">
      <c r="A32" s="2" t="s">
        <v>114</v>
      </c>
      <c r="B32">
        <v>2526</v>
      </c>
    </row>
    <row r="33" spans="1:2" x14ac:dyDescent="0.3">
      <c r="A33" s="2" t="s">
        <v>166</v>
      </c>
      <c r="B33">
        <v>4805</v>
      </c>
    </row>
    <row r="34" spans="1:2" x14ac:dyDescent="0.3">
      <c r="A34" s="2" t="s">
        <v>141</v>
      </c>
      <c r="B34">
        <v>6614</v>
      </c>
    </row>
    <row r="35" spans="1:2" x14ac:dyDescent="0.3">
      <c r="A35" s="2" t="s">
        <v>34</v>
      </c>
      <c r="B35">
        <v>7030</v>
      </c>
    </row>
    <row r="36" spans="1:2" x14ac:dyDescent="0.3">
      <c r="A36" s="2" t="s">
        <v>167</v>
      </c>
      <c r="B36">
        <v>7485</v>
      </c>
    </row>
    <row r="37" spans="1:2" x14ac:dyDescent="0.3">
      <c r="A37" s="2" t="s">
        <v>40</v>
      </c>
      <c r="B37">
        <v>7694</v>
      </c>
    </row>
    <row r="38" spans="1:2" x14ac:dyDescent="0.3">
      <c r="A38" s="2" t="s">
        <v>130</v>
      </c>
      <c r="B38">
        <v>5744</v>
      </c>
    </row>
    <row r="39" spans="1:2" x14ac:dyDescent="0.3">
      <c r="A39" s="2" t="s">
        <v>67</v>
      </c>
      <c r="B39">
        <v>13495</v>
      </c>
    </row>
    <row r="40" spans="1:2" x14ac:dyDescent="0.3">
      <c r="A40" s="2" t="s">
        <v>135</v>
      </c>
      <c r="B40">
        <v>4775</v>
      </c>
    </row>
    <row r="41" spans="1:2" x14ac:dyDescent="0.3">
      <c r="A41" s="2" t="s">
        <v>78</v>
      </c>
      <c r="B41">
        <v>4247</v>
      </c>
    </row>
    <row r="42" spans="1:2" x14ac:dyDescent="0.3">
      <c r="A42" s="2" t="s">
        <v>136</v>
      </c>
      <c r="B42">
        <v>1936</v>
      </c>
    </row>
    <row r="43" spans="1:2" x14ac:dyDescent="0.3">
      <c r="A43" s="2" t="s">
        <v>164</v>
      </c>
      <c r="B43">
        <v>2350</v>
      </c>
    </row>
    <row r="44" spans="1:2" x14ac:dyDescent="0.3">
      <c r="A44" s="2" t="s">
        <v>24</v>
      </c>
      <c r="B44">
        <v>2792</v>
      </c>
    </row>
    <row r="45" spans="1:2" x14ac:dyDescent="0.3">
      <c r="A45" s="2" t="s">
        <v>116</v>
      </c>
      <c r="B45">
        <v>9652</v>
      </c>
    </row>
    <row r="46" spans="1:2" x14ac:dyDescent="0.3">
      <c r="A46" s="2" t="s">
        <v>89</v>
      </c>
      <c r="B46">
        <v>1163</v>
      </c>
    </row>
    <row r="47" spans="1:2" x14ac:dyDescent="0.3">
      <c r="A47" s="2" t="s">
        <v>28</v>
      </c>
      <c r="B47">
        <v>1197</v>
      </c>
    </row>
    <row r="48" spans="1:2" x14ac:dyDescent="0.3">
      <c r="A48" s="2" t="s">
        <v>31</v>
      </c>
      <c r="B48">
        <v>8835</v>
      </c>
    </row>
    <row r="49" spans="1:2" x14ac:dyDescent="0.3">
      <c r="A49" s="2" t="s">
        <v>115</v>
      </c>
      <c r="B49">
        <v>576</v>
      </c>
    </row>
    <row r="50" spans="1:2" x14ac:dyDescent="0.3">
      <c r="A50" s="2" t="s">
        <v>87</v>
      </c>
      <c r="B50">
        <v>8081</v>
      </c>
    </row>
    <row r="51" spans="1:2" x14ac:dyDescent="0.3">
      <c r="A51" s="2" t="s">
        <v>83</v>
      </c>
      <c r="B51">
        <v>4648</v>
      </c>
    </row>
    <row r="52" spans="1:2" x14ac:dyDescent="0.3">
      <c r="A52" s="2" t="s">
        <v>71</v>
      </c>
      <c r="B52">
        <v>994</v>
      </c>
    </row>
    <row r="53" spans="1:2" x14ac:dyDescent="0.3">
      <c r="A53" s="2" t="s">
        <v>129</v>
      </c>
      <c r="B53">
        <v>5487</v>
      </c>
    </row>
    <row r="54" spans="1:2" x14ac:dyDescent="0.3">
      <c r="A54" s="2" t="s">
        <v>99</v>
      </c>
      <c r="B54">
        <v>9641</v>
      </c>
    </row>
    <row r="55" spans="1:2" x14ac:dyDescent="0.3">
      <c r="A55" s="2" t="s">
        <v>50</v>
      </c>
      <c r="B55">
        <v>5820</v>
      </c>
    </row>
    <row r="56" spans="1:2" x14ac:dyDescent="0.3">
      <c r="A56" s="2" t="s">
        <v>72</v>
      </c>
      <c r="B56">
        <v>7038</v>
      </c>
    </row>
    <row r="57" spans="1:2" x14ac:dyDescent="0.3">
      <c r="A57" s="2" t="s">
        <v>13</v>
      </c>
      <c r="B57">
        <v>1632</v>
      </c>
    </row>
    <row r="58" spans="1:2" x14ac:dyDescent="0.3">
      <c r="A58" s="2" t="s">
        <v>35</v>
      </c>
      <c r="B58">
        <v>15044</v>
      </c>
    </row>
    <row r="59" spans="1:2" x14ac:dyDescent="0.3">
      <c r="A59" s="2" t="s">
        <v>9</v>
      </c>
      <c r="B59">
        <v>4153</v>
      </c>
    </row>
    <row r="60" spans="1:2" x14ac:dyDescent="0.3">
      <c r="A60" s="2" t="s">
        <v>118</v>
      </c>
      <c r="B60">
        <v>520</v>
      </c>
    </row>
    <row r="61" spans="1:2" x14ac:dyDescent="0.3">
      <c r="A61" s="2" t="s">
        <v>59</v>
      </c>
      <c r="B61">
        <v>3740</v>
      </c>
    </row>
    <row r="62" spans="1:2" x14ac:dyDescent="0.3">
      <c r="A62" s="2" t="s">
        <v>153</v>
      </c>
      <c r="B62">
        <v>1559</v>
      </c>
    </row>
    <row r="63" spans="1:2" x14ac:dyDescent="0.3">
      <c r="A63" s="2" t="s">
        <v>93</v>
      </c>
      <c r="B63">
        <v>1800</v>
      </c>
    </row>
    <row r="64" spans="1:2" x14ac:dyDescent="0.3">
      <c r="A64" s="2" t="s">
        <v>45</v>
      </c>
      <c r="B64">
        <v>7495</v>
      </c>
    </row>
    <row r="65" spans="1:2" x14ac:dyDescent="0.3">
      <c r="A65" s="2" t="s">
        <v>155</v>
      </c>
      <c r="B65">
        <v>5650</v>
      </c>
    </row>
    <row r="66" spans="1:2" x14ac:dyDescent="0.3">
      <c r="A66" s="2" t="s">
        <v>145</v>
      </c>
      <c r="B66">
        <v>7817</v>
      </c>
    </row>
    <row r="67" spans="1:2" x14ac:dyDescent="0.3">
      <c r="A67" s="2" t="s">
        <v>154</v>
      </c>
      <c r="B67">
        <v>1638</v>
      </c>
    </row>
    <row r="68" spans="1:2" x14ac:dyDescent="0.3">
      <c r="A68" s="2" t="s">
        <v>158</v>
      </c>
      <c r="B68">
        <v>6490</v>
      </c>
    </row>
    <row r="69" spans="1:2" x14ac:dyDescent="0.3">
      <c r="A69" s="2" t="s">
        <v>148</v>
      </c>
      <c r="B69">
        <v>2485</v>
      </c>
    </row>
    <row r="70" spans="1:2" x14ac:dyDescent="0.3">
      <c r="A70" s="2" t="s">
        <v>160</v>
      </c>
      <c r="B70">
        <v>2956</v>
      </c>
    </row>
    <row r="71" spans="1:2" x14ac:dyDescent="0.3">
      <c r="A71" s="2" t="s">
        <v>151</v>
      </c>
      <c r="B71">
        <v>7030</v>
      </c>
    </row>
    <row r="72" spans="1:2" x14ac:dyDescent="0.3">
      <c r="A72" s="2" t="s">
        <v>92</v>
      </c>
      <c r="B72">
        <v>20379</v>
      </c>
    </row>
    <row r="73" spans="1:2" x14ac:dyDescent="0.3">
      <c r="A73" s="2" t="s">
        <v>85</v>
      </c>
      <c r="B73">
        <v>3448</v>
      </c>
    </row>
    <row r="74" spans="1:2" x14ac:dyDescent="0.3">
      <c r="A74" s="2" t="s">
        <v>143</v>
      </c>
      <c r="B74">
        <v>5192</v>
      </c>
    </row>
    <row r="75" spans="1:2" x14ac:dyDescent="0.3">
      <c r="A75" s="2" t="s">
        <v>74</v>
      </c>
      <c r="B75">
        <v>6040</v>
      </c>
    </row>
    <row r="76" spans="1:2" x14ac:dyDescent="0.3">
      <c r="A76" s="2" t="s">
        <v>123</v>
      </c>
      <c r="B76">
        <v>5835</v>
      </c>
    </row>
    <row r="77" spans="1:2" x14ac:dyDescent="0.3">
      <c r="A77" s="2" t="s">
        <v>147</v>
      </c>
      <c r="B77">
        <v>7588</v>
      </c>
    </row>
    <row r="78" spans="1:2" x14ac:dyDescent="0.3">
      <c r="A78" s="2" t="s">
        <v>42</v>
      </c>
      <c r="B78">
        <v>15795</v>
      </c>
    </row>
    <row r="79" spans="1:2" x14ac:dyDescent="0.3">
      <c r="A79" s="2" t="s">
        <v>107</v>
      </c>
      <c r="B79">
        <v>9272</v>
      </c>
    </row>
    <row r="80" spans="1:2" x14ac:dyDescent="0.3">
      <c r="A80" s="2" t="s">
        <v>162</v>
      </c>
      <c r="B80">
        <v>510</v>
      </c>
    </row>
    <row r="81" spans="1:2" x14ac:dyDescent="0.3">
      <c r="A81" s="2" t="s">
        <v>95</v>
      </c>
      <c r="B81">
        <v>9835</v>
      </c>
    </row>
    <row r="82" spans="1:2" x14ac:dyDescent="0.3">
      <c r="A82" s="2" t="s">
        <v>156</v>
      </c>
      <c r="B82">
        <v>3309</v>
      </c>
    </row>
    <row r="83" spans="1:2" x14ac:dyDescent="0.3">
      <c r="A83" s="2" t="s">
        <v>62</v>
      </c>
      <c r="B83">
        <v>1960</v>
      </c>
    </row>
    <row r="84" spans="1:2" x14ac:dyDescent="0.3">
      <c r="A84" s="2" t="s">
        <v>97</v>
      </c>
      <c r="B84">
        <v>10645</v>
      </c>
    </row>
    <row r="85" spans="1:2" x14ac:dyDescent="0.3">
      <c r="A85" s="2" t="s">
        <v>124</v>
      </c>
      <c r="B85">
        <v>13146</v>
      </c>
    </row>
    <row r="86" spans="1:2" x14ac:dyDescent="0.3">
      <c r="A86" s="2" t="s">
        <v>111</v>
      </c>
      <c r="B86">
        <v>11995</v>
      </c>
    </row>
    <row r="87" spans="1:2" x14ac:dyDescent="0.3">
      <c r="A87" s="2" t="s">
        <v>109</v>
      </c>
      <c r="B87">
        <v>13688</v>
      </c>
    </row>
    <row r="88" spans="1:2" x14ac:dyDescent="0.3">
      <c r="A88" s="2" t="s">
        <v>103</v>
      </c>
      <c r="B88">
        <v>11766</v>
      </c>
    </row>
    <row r="89" spans="1:2" x14ac:dyDescent="0.3">
      <c r="A89" s="2" t="s">
        <v>132</v>
      </c>
      <c r="B89">
        <v>714</v>
      </c>
    </row>
    <row r="90" spans="1:2" x14ac:dyDescent="0.3">
      <c r="A90" s="2" t="s">
        <v>104</v>
      </c>
      <c r="B90">
        <v>9479</v>
      </c>
    </row>
    <row r="91" spans="1:2" x14ac:dyDescent="0.3">
      <c r="A91" s="2" t="s">
        <v>90</v>
      </c>
      <c r="B91">
        <v>2416</v>
      </c>
    </row>
    <row r="92" spans="1:2" x14ac:dyDescent="0.3">
      <c r="A92" s="2" t="s">
        <v>43</v>
      </c>
      <c r="B92">
        <v>9874</v>
      </c>
    </row>
    <row r="93" spans="1:2" x14ac:dyDescent="0.3">
      <c r="A93" s="2" t="s">
        <v>65</v>
      </c>
      <c r="B93">
        <v>1260</v>
      </c>
    </row>
    <row r="94" spans="1:2" x14ac:dyDescent="0.3">
      <c r="A94" s="2" t="s">
        <v>138</v>
      </c>
      <c r="B94">
        <v>2244</v>
      </c>
    </row>
    <row r="95" spans="1:2" x14ac:dyDescent="0.3">
      <c r="A95" s="2" t="s">
        <v>88</v>
      </c>
      <c r="B95">
        <v>11752</v>
      </c>
    </row>
    <row r="96" spans="1:2" x14ac:dyDescent="0.3">
      <c r="A96" s="2" t="s">
        <v>119</v>
      </c>
      <c r="B96">
        <v>8233</v>
      </c>
    </row>
    <row r="97" spans="1:2" x14ac:dyDescent="0.3">
      <c r="A97" s="2" t="s">
        <v>48</v>
      </c>
      <c r="B97">
        <v>6348</v>
      </c>
    </row>
    <row r="98" spans="1:2" x14ac:dyDescent="0.3">
      <c r="A98" s="2" t="s">
        <v>57</v>
      </c>
      <c r="B98">
        <v>7408</v>
      </c>
    </row>
    <row r="99" spans="1:2" x14ac:dyDescent="0.3">
      <c r="A99" s="2" t="s">
        <v>126</v>
      </c>
      <c r="B99">
        <v>6375</v>
      </c>
    </row>
    <row r="100" spans="1:2" x14ac:dyDescent="0.3">
      <c r="A100" s="2" t="s">
        <v>17</v>
      </c>
      <c r="B100">
        <v>7770</v>
      </c>
    </row>
    <row r="101" spans="1:2" x14ac:dyDescent="0.3">
      <c r="A101" s="2" t="s">
        <v>112</v>
      </c>
      <c r="B101">
        <v>2905</v>
      </c>
    </row>
    <row r="102" spans="1:2" x14ac:dyDescent="0.3">
      <c r="A102" s="2" t="s">
        <v>70</v>
      </c>
      <c r="B102">
        <v>2100</v>
      </c>
    </row>
    <row r="103" spans="1:2" x14ac:dyDescent="0.3">
      <c r="A103" s="2" t="s">
        <v>139</v>
      </c>
      <c r="B103">
        <v>1304</v>
      </c>
    </row>
    <row r="104" spans="1:2" x14ac:dyDescent="0.3">
      <c r="A104" s="2" t="s">
        <v>170</v>
      </c>
      <c r="B104">
        <v>575696</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DATA</vt:lpstr>
      <vt:lpstr>Pivot_Table_1</vt:lpstr>
      <vt:lpstr>Pivot_table_2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JANARDHAN .</cp:lastModifiedBy>
  <cp:lastPrinted>2026-05-08T13:04:27Z</cp:lastPrinted>
  <dcterms:created xsi:type="dcterms:W3CDTF">2026-05-02T14:20:59Z</dcterms:created>
  <dcterms:modified xsi:type="dcterms:W3CDTF">2026-05-13T12:31:46Z</dcterms:modified>
</cp:coreProperties>
</file>